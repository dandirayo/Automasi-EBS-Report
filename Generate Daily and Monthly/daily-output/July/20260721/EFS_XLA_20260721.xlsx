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18"/>
  <workbookPr filterPrivacy="1"/>
  <xr:revisionPtr revIDLastSave="68" documentId="11_2D4220A82C14611BB7585C1CA57CC3865FAEA384" xr6:coauthVersionLast="47" xr6:coauthVersionMax="47" xr10:uidLastSave="{9F79811A-30C4-4BB2-B627-8581D96EE1F0}"/>
  <bookViews>
    <workbookView xWindow="0" yWindow="0" windowWidth="0" windowHeight="0" xr2:uid="{00000000-000D-0000-FFFF-FFFF00000000}"/>
  </bookViews>
  <sheets>
    <sheet name="Summary" sheetId="1" r:id="rId1"/>
    <sheet name="Status Overview" sheetId="2" r:id="rId2"/>
    <sheet name="Hourly Trend" sheetId="3" r:id="rId3"/>
    <sheet name="By Event Class" sheetId="4" r:id="rId4"/>
    <sheet name="By Application" sheetId="5" r:id="rId5"/>
    <sheet name="By Entity" sheetId="6" r:id="rId6"/>
    <sheet name="By Event Type" sheetId="7" r:id="rId7"/>
    <sheet name="By Line Type" sheetId="8" r:id="rId8"/>
    <sheet name="Status Matrix" sheetId="9" r:id="rId9"/>
    <sheet name="Top Error Messages" sheetId="10" r:id="rId10"/>
    <sheet name="Error Count by Event Class" sheetId="11" r:id="rId11"/>
    <sheet name="Financial" sheetId="12" r:id="rId12"/>
    <sheet name="Top 10" sheetId="13" r:id="rId13"/>
    <sheet name="_model" sheetId="14" state="veryHidden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<sst xmlns="http://schemas.openxmlformats.org/spreadsheetml/2006/main" count="375" uniqueCount="206">
  <si>
    <t>EFS XLA Event Data Status — Daily Report</t>
  </si>
  <si>
    <t>Period: 2026-07-21 (Asia/Jakarta)</t>
  </si>
  <si>
    <t>Index: query-efs-event-data-status</t>
  </si>
  <si>
    <t>Metric</t>
  </si>
  <si>
    <t>Value</t>
  </si>
  <si>
    <t>Status</t>
  </si>
  <si>
    <t>Count</t>
  </si>
  <si>
    <t>Total Records</t>
  </si>
  <si>
    <t>D Draft</t>
  </si>
  <si>
    <t>Distinct Events</t>
  </si>
  <si>
    <t>U Unprocessed</t>
  </si>
  <si>
    <t>Completed (P+F)</t>
  </si>
  <si>
    <t>P Processed</t>
  </si>
  <si>
    <t>Error (E+R)</t>
  </si>
  <si>
    <t>F Final</t>
  </si>
  <si>
    <t>Unprocessed (U)</t>
  </si>
  <si>
    <t>E Error</t>
  </si>
  <si>
    <t>Invalid (I)</t>
  </si>
  <si>
    <t>R Related Event Error</t>
  </si>
  <si>
    <t>Draft (D)</t>
  </si>
  <si>
    <t>I Invalid</t>
  </si>
  <si>
    <t>Success %</t>
  </si>
  <si>
    <t>Error %</t>
  </si>
  <si>
    <t>Unprocessed %</t>
  </si>
  <si>
    <t>On Hold</t>
  </si>
  <si>
    <t>Reversed</t>
  </si>
  <si>
    <t>Distinct Event Classes</t>
  </si>
  <si>
    <t>Distinct Applications</t>
  </si>
  <si>
    <t>Distinct Entities</t>
  </si>
  <si>
    <t>Total Amount</t>
  </si>
  <si>
    <t>Total Base Amount</t>
  </si>
  <si>
    <t>Code</t>
  </si>
  <si>
    <t>Label</t>
  </si>
  <si>
    <t>%</t>
  </si>
  <si>
    <t>D</t>
  </si>
  <si>
    <t>Draft</t>
  </si>
  <si>
    <t>U</t>
  </si>
  <si>
    <t>Unprocessed</t>
  </si>
  <si>
    <t>P</t>
  </si>
  <si>
    <t>Processed</t>
  </si>
  <si>
    <t>F</t>
  </si>
  <si>
    <t>Final</t>
  </si>
  <si>
    <t>E</t>
  </si>
  <si>
    <t>Error</t>
  </si>
  <si>
    <t>R</t>
  </si>
  <si>
    <t>Related Event Error</t>
  </si>
  <si>
    <t>I</t>
  </si>
  <si>
    <t>Invalid</t>
  </si>
  <si>
    <t>XLA Code</t>
  </si>
  <si>
    <t>S</t>
  </si>
  <si>
    <t>Success</t>
  </si>
  <si>
    <t>V</t>
  </si>
  <si>
    <t>Invalid/Void</t>
  </si>
  <si>
    <t>Hour</t>
  </si>
  <si>
    <t>Total</t>
  </si>
  <si>
    <t>Completed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</si>
  <si>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</si>
  <si>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</si>
  <si>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</si>
  <si>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</si>
  <si>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</si>
  <si>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</si>
  <si>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</si>
  <si>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</si>
  <si>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</si>
  <si>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</si>
  <si>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</si>
  <si>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</si>
  <si>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</si>
  <si>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</si>
  <si>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</si>
  <si>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</si>
  <si>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</si>
  <si>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</si>
  <si>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</si>
  <si>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</si>
  <si>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</si>
  <si>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</si>
  <si>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</si>
  <si>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</si>
  <si>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Event Class</t>
  </si>
  <si>
    <t>Processed (P)</t>
  </si>
  <si>
    <t>Final (F)</t>
  </si>
  <si>
    <t>Error (E)</t>
  </si>
  <si>
    <t>Related Err (R)</t>
  </si>
  <si>
    <t>Unproc %</t>
  </si>
  <si>
    <t>Amount</t>
  </si>
  <si>
    <t>Base Amount</t>
  </si>
  <si>
    <t>DEP-NQ_ED2P_INVV</t>
  </si>
  <si>
    <t>DEP-NQ_ED2P_SC_BFST</t>
  </si>
  <si>
    <t>BRA-NQ_ED2P_GLDV</t>
  </si>
  <si>
    <t>DEP-Q_GLCP_GEND870</t>
  </si>
  <si>
    <t>DEP-NQ_ED2P_SC_ELOG</t>
  </si>
  <si>
    <t>LON-Q_GLCP_GEND872</t>
  </si>
  <si>
    <t>DEP-NQ_ED2P_T_INVV</t>
  </si>
  <si>
    <t>BRA-NQ_ED2P_T_GLDV</t>
  </si>
  <si>
    <t>LON-Q_GLCP_LOND2140</t>
  </si>
  <si>
    <t>DEP-NQ_ED2P_CC_INVV</t>
  </si>
  <si>
    <t>LON-NQ_ED2P_BORV</t>
  </si>
  <si>
    <t>LON-Q_GLCP_BORV</t>
  </si>
  <si>
    <t>CTA-NQ_ED2P_CTAV</t>
  </si>
  <si>
    <t>BRA-NQ_ED2P_ELOG</t>
  </si>
  <si>
    <t>LON-NQ_ED2P_T_BORV</t>
  </si>
  <si>
    <t>BRA-NQ_ED2P_CC_GLDV</t>
  </si>
  <si>
    <t>BRA-NQ_ED2P_BFST</t>
  </si>
  <si>
    <t>ACCRUAL JF</t>
  </si>
  <si>
    <t>JS10</t>
  </si>
  <si>
    <t>JS06</t>
  </si>
  <si>
    <t>MERCHANT BNI_M</t>
  </si>
  <si>
    <t>MERCHANT BNI_V</t>
  </si>
  <si>
    <t>LON-NQ_ED2P_CC_BORV</t>
  </si>
  <si>
    <t>MERCHANT BNI_A</t>
  </si>
  <si>
    <t>Application</t>
  </si>
  <si>
    <t>ICONS Custom Application</t>
  </si>
  <si>
    <t>CROSS BORDER PAYMENT Custom Application</t>
  </si>
  <si>
    <t>CREDIT CARD Custom Application</t>
  </si>
  <si>
    <t>JOINT FINANCE Custom Application</t>
  </si>
  <si>
    <t>Entity</t>
  </si>
  <si>
    <t>DEP</t>
  </si>
  <si>
    <t>BRA</t>
  </si>
  <si>
    <t>LON</t>
  </si>
  <si>
    <t>CTA</t>
  </si>
  <si>
    <t>MERCHANT BNI</t>
  </si>
  <si>
    <t>Event Type</t>
  </si>
  <si>
    <t>Line Type</t>
  </si>
  <si>
    <t>04055</t>
  </si>
  <si>
    <t>01045</t>
  </si>
  <si>
    <t>01055</t>
  </si>
  <si>
    <t>04045</t>
  </si>
  <si>
    <t>98901</t>
  </si>
  <si>
    <t>98091</t>
  </si>
  <si>
    <t>24045</t>
  </si>
  <si>
    <t>04060</t>
  </si>
  <si>
    <t>98903</t>
  </si>
  <si>
    <t>04061</t>
  </si>
  <si>
    <t>24055</t>
  </si>
  <si>
    <t>04010</t>
  </si>
  <si>
    <t>01010</t>
  </si>
  <si>
    <t>98481</t>
  </si>
  <si>
    <t>99000</t>
  </si>
  <si>
    <t>98061</t>
  </si>
  <si>
    <t>98470</t>
  </si>
  <si>
    <t>98081</t>
  </si>
  <si>
    <t>04155</t>
  </si>
  <si>
    <t>01040</t>
  </si>
  <si>
    <t>98055</t>
  </si>
  <si>
    <t>04160</t>
  </si>
  <si>
    <t>98480</t>
  </si>
  <si>
    <t>9900100000000</t>
  </si>
  <si>
    <t>06055</t>
  </si>
  <si>
    <t>20055</t>
  </si>
  <si>
    <t>24145</t>
  </si>
  <si>
    <t>20010</t>
  </si>
  <si>
    <t>21031</t>
  </si>
  <si>
    <t>06045</t>
  </si>
  <si>
    <t>20045</t>
  </si>
  <si>
    <t>01060</t>
  </si>
  <si>
    <t>98060</t>
  </si>
  <si>
    <t>01030</t>
  </si>
  <si>
    <t>00060</t>
  </si>
  <si>
    <t>98080</t>
  </si>
  <si>
    <t>51072</t>
  </si>
  <si>
    <t>04161</t>
  </si>
  <si>
    <t>21051</t>
  </si>
  <si>
    <t>03055</t>
  </si>
  <si>
    <t>01028</t>
  </si>
  <si>
    <t>01050</t>
  </si>
  <si>
    <t>98191</t>
  </si>
  <si>
    <t>98476</t>
  </si>
  <si>
    <t>20060</t>
  </si>
  <si>
    <t>98471</t>
  </si>
  <si>
    <t>01056</t>
  </si>
  <si>
    <t>98064</t>
  </si>
  <si>
    <t>98467</t>
  </si>
  <si>
    <t>51070</t>
  </si>
  <si>
    <t>Message</t>
  </si>
  <si>
    <t>Field</t>
  </si>
  <si>
    <t>(no error messages)</t>
  </si>
  <si>
    <t/>
  </si>
  <si>
    <t>Error Count</t>
  </si>
  <si>
    <t>(none)</t>
  </si>
  <si>
    <t>Currency</t>
  </si>
  <si>
    <t>IDR</t>
  </si>
  <si>
    <t>USD</t>
  </si>
  <si>
    <t>JPY</t>
  </si>
  <si>
    <t>SGD</t>
  </si>
  <si>
    <t>EUR</t>
  </si>
  <si>
    <t>MYR</t>
  </si>
  <si>
    <t>CNY</t>
  </si>
  <si>
    <t>AUD</t>
  </si>
  <si>
    <t>HKD</t>
  </si>
  <si>
    <t>SAR</t>
  </si>
  <si>
    <t>GBP</t>
  </si>
  <si>
    <t>KRW</t>
  </si>
  <si>
    <t>THB</t>
  </si>
  <si>
    <t>CHF</t>
  </si>
  <si>
    <t>CAD</t>
  </si>
  <si>
    <t>NZD</t>
  </si>
  <si>
    <t>AED</t>
  </si>
  <si>
    <t>TWD</t>
  </si>
  <si>
    <t>BND</t>
  </si>
  <si>
    <t>Ledger</t>
  </si>
  <si>
    <t>BNI_LEDGER_IDR</t>
  </si>
  <si>
    <t>Errored Base Amt</t>
  </si>
  <si>
    <t>Unprocessed Base Amt</t>
  </si>
  <si>
    <t>{"schema":"efs-status/1","index":"query-efs-event-data-status","date":"2026-07-21","timezone":"Asia/Jakarta","generated_at":"2026-07-21T19:00:12.001Z","totals":{"count":2457951,"events":198901,"status":{"P":2453831,"U":4120},"xla":{"S":2457951},"on_hold":0,"reversed":0,"amount":324201384637652,"base_amount":327756459030913},"hourly":[{"bucket":0,"total":395926,"completed":395832,"error":0,"unprocessed":94,"invalid":0},{"bucket":1,"total":0,"completed":0,"error":0,"unprocessed":0,"invalid":0},{"bucket":2,"total":0,"completed":0,"error":0,"unprocessed":0,"invalid":0},{"bucket":3,"total":82,"completed":82,"error":0,"unprocessed":0,"invalid":0},{"bucket":4,"total":205,"completed":204,"error":0,"unprocessed":1,"invalid":0},{"bucket":5,"total":107234,"completed":107115,"error":0,"unprocessed":119,"invalid":0},{"bucket":6,"total":41859,"completed":41858,"error":0,"unprocessed":1,"invalid":0},{"bucket":7,"total":79529,"completed":79513,"error":0,"unprocessed":16,"invalid":0},{"bucket":8,"total":25862,"completed":25862,"error":0,"unprocessed":0,"invalid":0},{"bucket":9,"total":182736,"completed":182736,"error":0,"unprocessed":0,"invalid":0},{"bucket":10,"total":68026,"completed":68026,"error":0,"unprocessed":0,"invalid":0},{"bucket":11,"total":53426,"completed":53426,"error":0,"unprocessed":0,"invalid":0},{"bucket":12,"total":414962,"completed":414366,"error":0,"unprocessed":596,"invalid":0},{"bucket":13,"total":954,"completed":774,"error":0,"unprocessed":180,"invalid":0},{"bucket":14,"total":0,"completed":0,"error":0,"unprocessed":0,"invalid":0},{"bucket":15,"total":53209,"completed":53209,"error":0,"unprocessed":0,"invalid":0},{"bucket":16,"total":492429,"completed":492230,"error":0,"unprocessed":199,"invalid":0},{"bucket":17,"total":26378,"completed":24824,"error":0,"unprocessed":1554,"invalid":0},{"bucket":18,"total":20,"completed":20,"error":0,"unprocessed":0,"invalid":0},{"bucket":19,"total":382037,"completed":381839,"error":0,"unprocessed":198,"invalid":0},{"bucket":20,"total":84978,"completed":84201,"error":0,"unprocessed":777,"invalid":0},{"bucket":21,"total":7178,"completed":6817,"error":0,"unprocessed":361,"invalid":0},{"bucket":22,"total":0,"completed":0,"error":0,"unprocessed":0,"invalid":0},{"bucket":23,"total":40921,"completed":40897,"error":0,"unprocessed":24,"invalid":0}],"dimensions":{"event_class":[{"key":"DEP-NQ_ED2P_INVV","count":1346154,"status":{"P":1345516,"U":638},"xla":{"S":1346154},"amount":172091237128254,"base_amount":172091237128254,"err_count":0,"err_base_amount":0,"unproc_base_amount":54632421},{"key":"DEP-NQ_ED2P_SC_BFST","count":486420,"status":{"P":486420},"xla":{"S":486420},"amount":14249742083071,"base_amount":14249742083071,"err_count":0,"err_base_amount":0,"unproc_base_amount":0},{"key":"BRA-NQ_ED2P_GLDV","count":218300,"status":{"P":218300},"xla":{"S":218300},"amount":42298267553125,"base_amount":42298267553125,"err_count":0,"err_base_amount":0,"unproc_base_amount":0},{"key":"DEP-Q_GLCP_GEND870","count":182726,"status":{"P":182726},"xla":{"S":182726},"amount":0,"base_amount":0,"err_count":0,"err_base_amount":0,"unproc_base_amount":0},{"key":"DEP-NQ_ED2P_SC_ELOG","count":86578,"status":{"P":86578},"xla":{"S":86578},"amount":1515644398,"base_amount":1515644398,"err_count":0,"err_base_amount":0,"unproc_base_amount":0},{"key":"LON-Q_GLCP_GEND872","count":68026,"status":{"P":68026},"xla":{"S":68026},"amount":2056704125,"base_amount":2056704125,"err_count":0,"err_base_amount":0,"unproc_base_amount":0},{"key":"DEP-NQ_ED2P_T_INVV","count":42330,"status":{"P":42330},"xla":{"S":42330},"amount":53345726721127,"base_amount":53345726721127,"err_count":0,"err_base_amount":0,"unproc_base_amount":0},{"key":"BRA-NQ_ED2P_T_GLDV","count":7236,"status":{"P":7236},"xla":{"S":7236},"amount":57343192282442,"base_amount":57551612970588,"err_count":0,"err_base_amount":0,"unproc_base_amount":0},{"key":"LON-Q_GLCP_LOND2140","count":5875,"status":{"P":5875},"xla":{"S":5875},"amount":-39794268581739,"base_amount":-39794268581739,"err_count":0,"err_base_amount":0,"unproc_base_amount":0},{"key":"DEP-NQ_ED2P_CC_INVV","count":4018,"status":{"P":4018},"xla":{"S":4018},"amount":2668791272745,"base_amount":5733219055308,"err_count":0,"err_base_amount":0,"unproc_base_amount":0},{"key":"LON-NQ_ED2P_BORV","count":3945,"status":{"U":2294,"P":1651},"xla":{"S":3945},"amount":4746447955258,"base_amount":4746447955258,"err_count":0,"err_base_amount":0,"unproc_base_amount":1401393418817},{"key":"LON-Q_GLCP_BORV","count":3580,"status":{"P":2521,"U":1059},"xla":{"S":3580},"amount":2715290828102,"base_amount":2715290828102,"err_count":0,"err_base_amount":0,"unproc_base_amount":1153824967362},{"key":"CTA-NQ_ED2P_CTAV","count":926,"status":{"P":797,"U":129},"xla":{"S":926},"amount":963367022698,"base_amount":963367022698,"err_count":0,"err_base_amount":0,"unproc_base_amount":130635538217},{"key":"BRA-NQ_ED2P_ELOG","count":777,"status":{"P":777},"xla":{"S":777},"amount":265759704123,"base_amount":265759704123,"err_count":0,"err_base_amount":0,"unproc_base_amount":0},{"key":"LON-NQ_ED2P_T_BORV","count":528,"status":{"P":528},"xla":{"S":528},"amount":381789501553,"base_amount":381789501553,"err_count":0,"err_base_amount":0,"unproc_base_amount":0},{"key":"BRA-NQ_ED2P_CC_GLDV","count":431,"status":{"P":431},"xla":{"S":431},"amount":458510528697,"base_amount":740736451249,"err_count":0,"err_base_amount":0,"unproc_base_amount":0},{"key":"BRA-NQ_ED2P_BFST","count":85,"status":{"P":85},"xla":{"S":85},"amount":12463591359343,"base_amount":12463591359343,"err_count":0,"err_base_amount":0,"unproc_base_amount":0},{"key":"ACCRUAL JF","count":4,"status":{"P":4},"xla":{"S":4},"amount":0,"base_amount":0,"err_count":0,"err_base_amount":0,"unproc_base_amount":0},{"key":"JS10","count":4,"status":{"P":4},"xla":{"S":4},"amount":7966,"base_amount":7966,"err_count":0,"err_base_amount":0,"unproc_base_amount":0},{"key":"JS06","count":2,"status":{"P":2},"xla":{"S":2},"amount":248000,"base_amount":248000,"err_count":0,"err_base_amount":0,"unproc_base_amount":0},{"key":"MERCHANT BNI_M","count":2,"status":{"P":2},"xla":{"S":2},"amount":49713916,"base_amount":49713916,"err_count":0,"err_base_amount":0,"unproc_base_amount":0},{"key":"MERCHANT BNI_V","count":2,"status":{"P":2},"xla":{"S":2},"amount":75494759,"base_amount":75494759,"err_count":0,"err_base_amount":0,"unproc_base_amount":0},{"key":"LON-NQ_ED2P_CC_BORV","count":1,"status":{"P":1},"xla":{"S":1},"amount":233090000,"base_amount":233090000,"err_count":0,"err_base_amount":0,"unproc_base_amount":0},{"key":"MERCHANT BNI_A","count":1,"status":{"P":1},"xla":{"S":1},"amount":8375689,"base_amount":8375689,"err_count":0,"err_base_amount":0,"unproc_base_amount":0}],"application":[{"key":"ICONS Custom Application","count":2457936,"status":{"P":2453816,"U":4120},"xla":{"S":2457936},"amount":324201250797322,"base_amount":327756325190583,"err_count":0,"err_base_amount":0,"unproc_base_amount":2685908556817},{"key":"CROSS BORDER PAYMENT Custom Application","count":6,"status":{"P":6},"xla":{"S":6},"amount":255966,"base_amount":255966,"err_count":0,"err_base_amount":0,"unproc_base_amount":0},{"key":"CREDIT CARD Custom Application","count":5,"status":{"P":5},"xla":{"S":5},"amount":133584364,"base_amount":133584364,"err_count":0,"err_base_amount":0,"unproc_base_amount":0},{"key":"JOINT FINANCE Custom Application","count":4,"status":{"P":4},"xla":{"S":4},"amount":0,"base_amount":0,"err_count":0,"err_base_amount":0,"unproc_base_amount":0}],"entity":[{"key":"DEP","count":2148226,"status":{"P":2147588,"U":638},"xla":{"S":2148226},"amount":242357012849595,"base_amount":245421440632158,"err_count":0,"err_base_amount":0,"unproc_base_amount":54632421},{"key":"BRA","count":226829,"status":{"P":226829},"xla":{"S":226829},"amount":112829321427730,"base_amount":113319968038428,"err_count":0,"err_base_amount":0,"unproc_base_amount":0},{"key":"LON","count":81955,"status":{"P":78602,"U":3353},"xla":{"S":81955},"amount":-31948450502701,"base_amount":-31948450502701,"err_count":0,"err_base_amount":0,"unproc_base_amount":2555218386179},{"key":"CTA","count":926,"status":{"P":797,"U":129},"xla":{"S":926},"amount":963367022698,"base_amount":963367022698,"err_count":0,"err_base_amount":0,"unproc_base_amount":130635538217},{"key":"MERCHANT BNI","count":5,"status":{"P":5},"xla":{"S":5},"amount":133584364,"base_amount":133584364,"err_count":0,"err_base_amount":0,"unproc_base_amount":0},{"key":"ACCRUAL JF","count":4,"status":{"P":4},"xla":{"S":4},"amount":0,"base_amount":0,"err_count":0,"err_base_amount":0,"unproc_base_amount":0},{"key":"JS10","count":4,"status":{"P":4},"xla":{"S":4},"amount":7966,"base_amount":7966,"err_count":0,"err_base_amount":0,"unproc_base_amount":0},{"key":"JS06","count":2,"status":{"P":2},"xla":{"S":2},"amount":248000,"base_amount":248000,"err_count":0,"err_base_amount":0,"unproc_base_amount":0}],"event_type":[{"key":"DEP-NQ_ED2P_INVV","count":1346154,"status":{"P":1345516,"U":638},"xla":{"S":1346154},"amount":172091237128254,"base_amount":172091237128254,"err_count":0,"err_base_amount":0,"unproc_base_amount":54632421},{"key":"DEP-NQ_ED2P_SC_BFST","count":486420,"status":{"P":486420},"xla":{"S":486420},"amount":14249742083071,"base_amount":14249742083071,"err_count":0,"err_base_amount":0,"unproc_base_amount":0},{"key":"BRA-NQ_ED2P_GLDV","count":218300,"status":{"P":218300},"xla":{"S":218300},"amount":42298267553125,"base_amount":42298267553125,"err_count":0,"err_base_amount":0,"unproc_base_amount":0},{"key":"DEP-Q_GLCP_GEND870","count":182726,"status":{"P":182726},"xla":{"S":182726},"amount":0,"base_amount":0,"err_count":0,"err_base_amount":0,"unproc_base_amount":0},{"key":"DEP-NQ_ED2P_SC_ELOG","count":86578,"status":{"P":86578},"xla":{"S":86578},"amount":1515644398,"base_amount":1515644398,"err_count":0,"err_base_amount":0,"unproc_base_amount":0},{"key":"LON-Q_GLCP_GEND872","count":68026,"status":{"P":68026},"xla":{"S":68026},"amount":2056704125,"base_amount":2056704125,"err_count":0,"err_base_amount":0,"unproc_base_amount":0},{"key":"DEP-NQ_ED2P_T_INVV","count":42330,"status":{"P":42330},"xla":{"S":42330},"amount":53345726721127,"base_amount":53345726721127,"err_count":0,"err_base_amount":0,"unproc_base_amount":0},{"key":"BRA-NQ_ED2P_T_GLDV","count":7236,"status":{"P":7236},"xla":{"S":7236},"amount":57343192282442,"base_amount":57551612970588,"err_count":0,"err_base_amount":0,"unproc_base_amount":0},{"key":"LON-Q_GLCP_LOND2140","count":5875,"status":{"P":5875},"xla":{"S":5875},"amount":-39794268581739,"base_amount":-39794268581739,"err_count":0,"err_base_amount":0,"unproc_base_amount":0},{"key":"DEP-NQ_ED2P_CC_INVV","count":4018,"status":{"P":4018},"xla":{"S":4018},"amount":2668791272745,"base_amount":5733219055308,"err_count":0,"err_base_amount":0,"unproc_base_amount":0},{"key":"LON-NQ_ED2P_BORV","count":3945,"status":{"U":2294,"P":1651},"xla":{"S":3945},"amount":4746447955258,"base_amount":4746447955258,"err_count":0,"err_base_amount":0,"unproc_base_amount":1401393418817},{"key":"LON-Q_GLCP_BORV","count":3580,"status":{"P":2521,"U":1059},"xla":{"S":3580},"amount":2715290828102,"base_amount":2715290828102,"err_count":0,"err_base_amount":0,"unproc_base_amount":1153824967362},{"key":"CTA-NQ_ED2P_CTAV","count":926,"status":{"P":797,"U":129},"xla":{"S":926},"amount":963367022698,"base_amount":963367022698,"err_count":0,"err_base_amount":0,"unproc_base_amount":130635538217},{"key":"BRA-NQ_ED2P_ELOG","count":777,"status":{"P":777},"xla":{"S":777},"amount":265759704123,"base_amount":265759704123,"err_count":0,"err_base_amount":0,"unproc_base_amount":0},{"key":"LON-NQ_ED2P_T_BORV","count":528,"status":{"P":528},"xla":{"S":528},"amount":381789501553,"base_amount":381789501553,"err_count":0,"err_base_amount":0,"unproc_base_amount":0},{"key":"BRA-NQ_ED2P_CC_GLDV","count":431,"status":{"P":431},"xla":{"S":431},"amount":458510528697,"base_amount":740736451249,"err_count":0,"err_base_amount":0,"unproc_base_amount":0},{"key":"BRA-NQ_ED2P_BFST","count":85,"status":{"P":85},"xla":{"S":85},"amount":12463591359343,"base_amount":12463591359343,"err_count":0,"err_base_amount":0,"unproc_base_amount":0},{"key":"ACCRUAL JF","count":4,"status":{"P":4},"xla":{"S":4},"amount":0,"base_amount":0,"err_count":0,"err_base_amount":0,"unproc_base_amount":0},{"key":"JS10","count":4,"status":{"P":4},"xla":{"S":4},"amount":7966,"base_amount":7966,"err_count":0,"err_base_amount":0,"unproc_base_amount":0},{"key":"JS06","count":2,"status":{"P":2},"xla":{"S":2},"amount":248000,"base_amount":248000,"err_count":0,"err_base_amount":0,"unproc_base_amount":0},{"key":"MERCHANT BNI_M","count":2,"status":{"P":2},"xla":{"S":2},"amount":49713916,"base_amount":49713916,"err_count":0,"err_base_amount":0,"unproc_base_amount":0},{"key":"MERCHANT BNI_V","count":2,"status":{"P":2},"xla":{"S":2},"amount":75494759,"base_amount":75494759,"err_count":0,"err_base_amount":0,"unproc_base_amount":0},{"key":"LON-NQ_ED2P_CC_BORV","count":1,"status":{"P":1},"xla":{"S":1},"amount":233090000,"base_amount":233090000,"err_count":0,"err_base_amount":0,"unproc_base_amount":0},{"key":"MERCHANT BNI_A","count":1,"status":{"P":1},"xla":{"S":1},"amount":8375689,"base_amount":8375689,"err_count":0,"err_base_amount":0,"unproc_base_amount":0}],"line_type":[{"key":"04055","count":494703,"status":{"P":494703},"xla":{"S":494703},"amount":8419064723686,"base_amount":8419064723686,"err_count":0,"err_base_amount":0,"unproc_base_amount":0},{"key":"01045","count":365763,"status":{"P":365763},"xla":{"S":365763},"amount":66121507160135,"base_amount":67185524993327,"err_count":0,"err_base_amount":0,"unproc_base_amount":0},{"key":"01055","count":294170,"status":{"P":294170},"xla":{"S":294170},"amount":45064899359069,"base_amount":47057566675597,"err_count":0,"err_base_amount":0,"unproc_base_amount":0},{"key":"04045","count":229579,"status":{"P":229579},"xla":{"S":229579},"amount":8250233186779,"base_amount":8250233186779,"err_count":0,"err_base_amount":0,"unproc_base_amount":0},{"key":"98901","count":182726,"status":{"P":182726},"xla":{"S":182726},"amount":0,"base_amount":0,"err_count":0,"err_base_amount":0,"unproc_base_amount":0},{"key":"98091","count":165079,"status":{"P":165079},"xla":{"S":165079},"amount":3041700000,"base_amount":3041700000,"err_count":0,"err_base_amount":0,"unproc_base_amount":0},{"key":"24045","count":157759,"status":{"P":157759},"xla":{"S":157759},"amount":7663528154550,"base_amount":7663632959902,"err_count":0,"err_base_amount":0,"unproc_base_amount":0},{"key":"04060","count":112928,"status":{"P":112928},"xla":{"S":112928},"amount":552818081680,"base_amount":552927886462,"err_count":0,"err_base_amount":0,"unproc_base_amount":0},{"key":"98903","count":43336,"status":{"P":43336},"xla":{"S":43336},"amount":2130281645,"base_amount":2130281645,"err_count":0,"err_base_amount":0,"unproc_base_amount":0},{"key":"04061","count":41906,"status":{"P":41906},"xla":{"S":41906},"amount":50022589742,"base_amount":50022589742,"err_count":0,"err_base_amount":0,"unproc_base_amount":0},{"key":"24055","count":38574,"status":{"P":38574},"xla":{"S":38574},"amount":7533054240765,"base_amount":7533054240765,"err_count":0,"err_base_amount":0,"unproc_base_amount":0},{"key":"04010","count":36482,"status":{"P":36482},"xla":{"S":36482},"amount":235390900000,"base_amount":235390900000,"err_count":0,"err_base_amount":0,"unproc_base_amount":0},{"key":"01010","count":26851,"status":{"P":26851},"xla":{"S":26851},"amount":2248860582155,"base_amount":2255296423851,"err_count":0,"err_base_amount":0,"unproc_base_amount":0},{"key":"98481","count":25146,"status":{"P":25146},"xla":{"S":25146},"amount":453100500,"base_amount":453100500,"err_count":0,"err_base_amount":0,"unproc_base_amount":0},{"key":"99000","count":24690,"status":{"P":24690},"xla":{"S":24690},"amount":-73577520,"base_amount":-73577520,"err_count":0,"err_base_amount":0,"unproc_base_amount":0},{"key":"98061","count":23623,"status":{"P":23623},"xla":{"S":23623},"amount":554137000,"base_amount":554137000,"err_count":0,"err_base_amount":0,"unproc_base_amount":0},{"key":"98470","count":18178,"status":{"P":18178},"xla":{"S":18178},"amount":231045000,"base_amount":231045000,"err_count":0,"err_base_amount":0,"unproc_base_amount":0},{"key":"98081","count":15205,"status":{"P":15205},"xla":{"S":15205},"amount":226691500,"base_amount":226691500,"err_count":0,"err_base_amount":0,"unproc_base_amount":0},{"key":"04155","count":15102,"status":{"P":15102},"xla":{"S":15102},"amount":22940439472,"base_amount":22940439472,"err_count":0,"err_base_amount":0,"unproc_base_amount":0},{"key":"01040","count":13639,"status":{"P":13639},"xla":{"S":13639},"amount":926489349305,"base_amount":926489349305,"err_count":0,"err_base_amount":0,"unproc_base_amount":0},{"key":"98055","count":11371,"status":{"P":11371},"xla":{"S":11371},"amount":50180000,"base_amount":50180000,"err_count":0,"err_base_amount":0,"unproc_base_amount":0},{"key":"04160","count":10882,"status":{"P":10882},"xla":{"S":10882},"amount":13628473213,"base_amount":13628473213,"err_count":0,"err_base_amount":0,"unproc_base_amount":0},{"key":"98480","count":9521,"status":{"P":9521},"xla":{"S":9521},"amount":66252000,"base_amount":66252000,"err_count":0,"err_base_amount":0,"unproc_base_amount":0},{"key":"9900100000000","count":5875,"status":{"P":5875},"xla":{"S":5875},"amount":-39794268581739,"base_amount":-39794268581739,"err_count":0,"err_base_amount":0,"unproc_base_amount":0},{"key":"06055","count":5506,"status":{"P":5506},"xla":{"S":5506},"amount":7402451807,"base_amount":7403841656,"err_count":0,"err_base_amount":0,"unproc_base_amount":0},{"key":"20055","count":5408,"status":{"P":5408},"xla":{"S":5408},"amount":6052430022370,"base_amount":6169526274364,"err_count":0,"err_base_amount":0,"unproc_base_amount":0},{"key":"24145","count":5348,"status":{"P":5348},"xla":{"S":5348},"amount":33000367262,"base_amount":33000367262,"err_count":0,"err_base_amount":0,"unproc_base_amount":0},{"key":"20010","count":5098,"status":{"P":5098},"xla":{"S":5098},"amount":3039332809588,"base_amount":3103344797753,"err_count":0,"err_base_amount":0,"unproc_base_amount":0},{"key":"21031","count":4872,"status":{"P":4872},"xla":{"S":4872},"amount":4609551378479,"base_amount":4609554336225,"err_count":0,"err_base_amount":0,"unproc_base_amount":0},{"key":"06045","count":4381,"status":{"P":4381},"xla":{"S":4381},"amount":7348236611,"base_amount":7348236611,"err_count":0,"err_base_amount":0,"unproc_base_amount":0},{"key":"20045","count":4373,"status":{"P":4373},"xla":{"S":4373},"amount":6132954036992,"base_amount":6223399565657,"err_count":0,"err_base_amount":0,"unproc_base_amount":0},{"key":"01060","count":4324,"status":{"P":4324},"xla":{"S":4324},"amount":718899712951,"base_amount":718943755571,"err_count":0,"err_base_amount":0,"unproc_base_amount":0},{"key":"98060","count":3848,"status":{"P":3848},"xla":{"S":3848},"amount":21460000,"base_amount":21460000,"err_count":0,"err_base_amount":0,"unproc_base_amount":0},{"key":"01030","count":3455,"status":{"P":3455},"xla":{"S":3455},"amount":21068815671165,"base_amount":21068815671165,"err_count":0,"err_base_amount":0,"unproc_base_amount":0},{"key":"00060","count":3369,"status":{"P":3369},"xla":{"S":3369},"amount":292206919970,"base_amount":292461654136,"err_count":0,"err_base_amount":0,"unproc_base_amount":0},{"key":"98080","count":3112,"status":{"P":3112},"xla":{"S":3112},"amount":16156000,"base_amount":16156000,"err_count":0,"err_base_amount":0,"unproc_base_amount":0},{"key":"51072","count":2850,"status":{"P":2850},"xla":{"S":2850},"amount":1932531060723,"base_amount":1932531060723,"err_count":0,"err_base_amount":0,"unproc_base_amount":0},{"key":"04161","count":2477,"status":{"P":2477},"xla":{"S":2477},"amount":203015822,"base_amount":203015822,"err_count":0,"err_base_amount":0,"unproc_base_amount":0},{"key":"21051","count":2023,"status":{"P":2023},"xla":{"S":2023},"amount":12253149808793,"base_amount":12253168229103,"err_count":0,"err_base_amount":0,"unproc_base_amount":0},{"key":"03055","count":1826,"status":{"P":1826},"xla":{"S":1826},"amount":2035706352801,"base_amount":2035706352801,"err_count":0,"err_base_amount":0,"unproc_base_amount":0},{"key":"01028","count":1555,"status":{"P":1555},"xla":{"S":1555},"amount":18002175678205,"base_amount":18002175678205,"err_count":0,"err_base_amount":0,"unproc_base_amount":0},{"key":"01050","count":1522,"status":{"P":1522},"xla":{"S":1522},"amount":27160210106030,"base_amount":27160210106030,"err_count":0,"err_base_amount":0,"unproc_base_amount":0},{"key":"98191","count":1492,"status":{"P":1492},"xla":{"S":1492},"amount":5382500,"base_amount":5382500,"err_count":0,"err_base_amount":0,"unproc_base_amount":0},{"key":"98476","count":1339,"status":{"P":1339},"xla":{"S":1339},"amount":2873181,"base_amount":2873181,"err_count":0,"err_base_amount":0,"unproc_base_amount":0},{"key":"20060","count":1307,"status":{"P":1307},"xla":{"S":1307},"amount":2801180118633,"base_amount":2945561051075,"err_count":0,"err_base_amount":0,"unproc_base_amount":0},{"key":"98471","count":1174,"status":{"P":1174},"xla":{"S":1174},"amount":5320000,"base_amount":5320000,"err_count":0,"err_base_amount":0,"unproc_base_amount":0},{"key":"01056","count":1096,"status":{"P":1096},"xla":{"S":1096},"amount":17976366057213,"base_amount":17976366057213,"err_count":0,"err_base_amount":0,"unproc_base_amount":0},{"key":"98064","count":1071,"status":{"P":1071},"xla":{"S":1071},"amount":4916000,"base_amount":4916000,"err_count":0,"err_base_amount":0,"unproc_base_amount":0},{"key":"98467","count":969,"status":{"P":969},"xla":{"S":969},"amount":28388398,"base_amount":28388398,"err_count":0,"err_base_amount":0,"unproc_base_amount":0},{"key":"51070","count":790,"status":{"P":790},"xla":{"S":790},"amount":91379108230,"base_amount":91379108230,"err_count":0,"err_base_amount":0,"unproc_base_amount":0}]},"errors":[],"financial":{"by_currency":[{"key":"IDR","amount":324152181465289,"base_amount":324152181465289,"count":2451681},{"key":"USD","amount":15865101043,"base_amount":2864250898705,"count":4009},{"key":"JPY","amount":31137555242,"base_amount":45118297241,"count":464},{"key":"SGD","amount":155032469,"base_amount":416386658763,"count":453},{"key":"EUR","amount":171176099,"base_amount":149518637988,"count":332},{"key":"MYR","amount":3202083,"base_amount":4618122849,"count":199},{"key":"CNY","amount":1489153082,"base_amount":107204601843,"count":159},{"key":"AUD","amount":144230209,"base_amount":6393226379,"count":149},{"key":"HKD","amount":4818395,"base_amount":1889665225,"count":116},{"key":"SAR","amount":11367020,"base_amount":338921404,"count":101},{"key":"GBP","amount":86706156,"base_amount":2339888552,"count":93},{"key":"KRW","amount":19727353,"base_amount":190076629,"count":67},{"key":"THB","amount":813108,"base_amount":82457032,"count":58},{"key":"CHF","amount":1045670,"base_amount":4599405160,"count":20},{"key":"CAD","amount":88197789,"base_amount":114210446,"count":18},{"key":"NZD","amount":23938978,"base_amount":95048228,"count":17},{"key":"AED","amount":1100467,"base_amount":1136986980,"count":12},{"key":"TWD","amount":7100,"base_amount":462100,"count":2},{"key":"BND","amount":100,"base_amount":100,"count":1}],"by_ledger":[{"key":"BNI_LEDGER_IDR","amount":324201384637652,"base_amount":327756459030913,"count":2457951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</si>
</sst>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Summary!$E$5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Summary!$D$6:$D$12</c:f>
              <c:strCache>
                <c:ptCount val="7"/>
                <c:pt idx="0">
                  <c:v>D Draft</c:v>
                </c:pt>
                <c:pt idx="1">
                  <c:v>U Unprocessed</c:v>
                </c:pt>
                <c:pt idx="2">
                  <c:v>P Processed</c:v>
                </c:pt>
                <c:pt idx="3">
                  <c:v>F Final</c:v>
                </c:pt>
                <c:pt idx="4">
                  <c:v>E Error</c:v>
                </c:pt>
                <c:pt idx="5">
                  <c:v>R Related Event Error</c:v>
                </c:pt>
                <c:pt idx="6">
                  <c:v>I Invalid</c:v>
                </c:pt>
              </c:strCache>
            </c:strRef>
          </c:cat>
          <c:val>
            <c:numRef>
              <c:f>Summary!$E$6:$E$12</c:f>
              <c:numCache>
                <c:formatCode>#,##0</c:formatCode>
                <c:ptCount val="7"/>
                <c:pt idx="0">
                  <c:v>0</c:v>
                </c:pt>
                <c:pt idx="1">
                  <c:v>4120</c:v>
                </c:pt>
                <c:pt idx="2">
                  <c:v>2453831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45-4D8F-A99F-83652A727F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516295"/>
        <c:axId val="29518343"/>
      </c:barChart>
      <c:catAx>
        <c:axId val="29516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18343"/>
        <c:crosses val="autoZero"/>
        <c:auto val="1"/>
        <c:lblAlgn val="ctr"/>
        <c:lblOffset val="100"/>
        <c:noMultiLvlLbl val="0"/>
      </c:catAx>
      <c:valAx>
        <c:axId val="29518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16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Process Status (lifecycle)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Overview'!$A$2:$A$8</c:f>
              <c:strCache>
                <c:ptCount val="7"/>
                <c:pt idx="0">
                  <c:v>D</c:v>
                </c:pt>
                <c:pt idx="1">
                  <c:v>U</c:v>
                </c:pt>
                <c:pt idx="2">
                  <c:v>P</c:v>
                </c:pt>
                <c:pt idx="3">
                  <c:v>F</c:v>
                </c:pt>
                <c:pt idx="4">
                  <c:v>E</c:v>
                </c:pt>
                <c:pt idx="5">
                  <c:v>R</c:v>
                </c:pt>
                <c:pt idx="6">
                  <c:v>I</c:v>
                </c:pt>
              </c:strCache>
            </c:strRef>
          </c:cat>
          <c:val>
            <c:numRef>
              <c:f>'Status Overview'!$B$2:$B$8</c:f>
              <c:numCache>
                <c:formatCode>#,##0</c:formatCode>
                <c:ptCount val="7"/>
                <c:pt idx="0">
                  <c:v>0</c:v>
                </c:pt>
                <c:pt idx="1">
                  <c:v>4120</c:v>
                </c:pt>
                <c:pt idx="2">
                  <c:v>2453831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92-4688-B22E-1CAD0C7DA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683975"/>
        <c:axId val="29545991"/>
      </c:barChart>
      <c:catAx>
        <c:axId val="49683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45991"/>
        <c:crosses val="autoZero"/>
        <c:auto val="1"/>
        <c:lblAlgn val="ctr"/>
        <c:lblOffset val="100"/>
        <c:noMultiLvlLbl val="0"/>
      </c:catAx>
      <c:valAx>
        <c:axId val="29545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83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XLA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Overview'!$A$11:$A$13</c:f>
              <c:strCache>
                <c:ptCount val="3"/>
                <c:pt idx="0">
                  <c:v>S</c:v>
                </c:pt>
                <c:pt idx="1">
                  <c:v>E</c:v>
                </c:pt>
                <c:pt idx="2">
                  <c:v>V</c:v>
                </c:pt>
              </c:strCache>
            </c:strRef>
          </c:cat>
          <c:val>
            <c:numRef>
              <c:f>'Status Overview'!$B$11:$B$13</c:f>
              <c:numCache>
                <c:formatCode>#,##0</c:formatCode>
                <c:ptCount val="3"/>
                <c:pt idx="0">
                  <c:v>2457951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B4-42D4-9C4D-5CC7C229D1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850375"/>
        <c:axId val="49729543"/>
      </c:barChart>
      <c:catAx>
        <c:axId val="49850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29543"/>
        <c:crosses val="autoZero"/>
        <c:auto val="1"/>
        <c:lblAlgn val="ctr"/>
        <c:lblOffset val="100"/>
        <c:noMultiLvlLbl val="0"/>
      </c:catAx>
      <c:valAx>
        <c:axId val="49729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50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Trend'!$B$1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Trend'!$B$2:$B$25</c:f>
              <c:numCache>
                <c:formatCode>#,##0</c:formatCode>
                <c:ptCount val="24"/>
                <c:pt idx="0">
                  <c:v>395926</c:v>
                </c:pt>
                <c:pt idx="1">
                  <c:v>0</c:v>
                </c:pt>
                <c:pt idx="2">
                  <c:v>0</c:v>
                </c:pt>
                <c:pt idx="3">
                  <c:v>82</c:v>
                </c:pt>
                <c:pt idx="4">
                  <c:v>205</c:v>
                </c:pt>
                <c:pt idx="5">
                  <c:v>107234</c:v>
                </c:pt>
                <c:pt idx="6">
                  <c:v>41859</c:v>
                </c:pt>
                <c:pt idx="7">
                  <c:v>79529</c:v>
                </c:pt>
                <c:pt idx="8">
                  <c:v>25862</c:v>
                </c:pt>
                <c:pt idx="9">
                  <c:v>182736</c:v>
                </c:pt>
                <c:pt idx="10">
                  <c:v>68026</c:v>
                </c:pt>
                <c:pt idx="11">
                  <c:v>53426</c:v>
                </c:pt>
                <c:pt idx="12">
                  <c:v>414962</c:v>
                </c:pt>
                <c:pt idx="13">
                  <c:v>954</c:v>
                </c:pt>
                <c:pt idx="14">
                  <c:v>0</c:v>
                </c:pt>
                <c:pt idx="15">
                  <c:v>53209</c:v>
                </c:pt>
                <c:pt idx="16">
                  <c:v>492429</c:v>
                </c:pt>
                <c:pt idx="17">
                  <c:v>26378</c:v>
                </c:pt>
                <c:pt idx="18">
                  <c:v>20</c:v>
                </c:pt>
                <c:pt idx="19">
                  <c:v>382037</c:v>
                </c:pt>
                <c:pt idx="20">
                  <c:v>84978</c:v>
                </c:pt>
                <c:pt idx="21">
                  <c:v>7178</c:v>
                </c:pt>
                <c:pt idx="22">
                  <c:v>0</c:v>
                </c:pt>
                <c:pt idx="23">
                  <c:v>40921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A7-4B93-AC42-CB7499F775A6}"/>
            </c:ext>
          </c:extLst>
        </c:ser>
        <c:ser>
          <c:idx val="1"/>
          <c:order val="1"/>
          <c:tx>
            <c:strRef>
              <c:f>'Hourly Trend'!$C$1</c:f>
              <c:strCache>
                <c:ptCount val="1"/>
                <c:pt idx="0">
                  <c:v>Completed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Trend'!$C$2:$C$25</c:f>
              <c:numCache>
                <c:formatCode>#,##0</c:formatCode>
                <c:ptCount val="24"/>
                <c:pt idx="0">
                  <c:v>395832</c:v>
                </c:pt>
                <c:pt idx="1">
                  <c:v>0</c:v>
                </c:pt>
                <c:pt idx="2">
                  <c:v>0</c:v>
                </c:pt>
                <c:pt idx="3">
                  <c:v>82</c:v>
                </c:pt>
                <c:pt idx="4">
                  <c:v>204</c:v>
                </c:pt>
                <c:pt idx="5">
                  <c:v>107115</c:v>
                </c:pt>
                <c:pt idx="6">
                  <c:v>41858</c:v>
                </c:pt>
                <c:pt idx="7">
                  <c:v>79513</c:v>
                </c:pt>
                <c:pt idx="8">
                  <c:v>25862</c:v>
                </c:pt>
                <c:pt idx="9">
                  <c:v>182736</c:v>
                </c:pt>
                <c:pt idx="10">
                  <c:v>68026</c:v>
                </c:pt>
                <c:pt idx="11">
                  <c:v>53426</c:v>
                </c:pt>
                <c:pt idx="12">
                  <c:v>414366</c:v>
                </c:pt>
                <c:pt idx="13">
                  <c:v>774</c:v>
                </c:pt>
                <c:pt idx="14">
                  <c:v>0</c:v>
                </c:pt>
                <c:pt idx="15">
                  <c:v>53209</c:v>
                </c:pt>
                <c:pt idx="16">
                  <c:v>492230</c:v>
                </c:pt>
                <c:pt idx="17">
                  <c:v>24824</c:v>
                </c:pt>
                <c:pt idx="18">
                  <c:v>20</c:v>
                </c:pt>
                <c:pt idx="19">
                  <c:v>381839</c:v>
                </c:pt>
                <c:pt idx="20">
                  <c:v>84201</c:v>
                </c:pt>
                <c:pt idx="21">
                  <c:v>6817</c:v>
                </c:pt>
                <c:pt idx="22">
                  <c:v>0</c:v>
                </c:pt>
                <c:pt idx="23">
                  <c:v>40897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3A7-4B93-AC42-CB7499F775A6}"/>
            </c:ext>
          </c:extLst>
        </c:ser>
        <c:ser>
          <c:idx val="2"/>
          <c:order val="2"/>
          <c:tx>
            <c:strRef>
              <c:f>'Hourly Trend'!$D$1</c:f>
              <c:strCache>
                <c:ptCount val="1"/>
                <c:pt idx="0">
                  <c:v>Error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Trend'!$D$2:$D$25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3A7-4B93-AC42-CB7499F775A6}"/>
            </c:ext>
          </c:extLst>
        </c:ser>
        <c:ser>
          <c:idx val="3"/>
          <c:order val="3"/>
          <c:tx>
            <c:strRef>
              <c:f>'Hourly Trend'!$E$1</c:f>
              <c:strCache>
                <c:ptCount val="1"/>
                <c:pt idx="0">
                  <c:v>Unprocessed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Trend'!$E$2:$E$25</c:f>
              <c:numCache>
                <c:formatCode>#,##0</c:formatCode>
                <c:ptCount val="24"/>
                <c:pt idx="0">
                  <c:v>94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119</c:v>
                </c:pt>
                <c:pt idx="6">
                  <c:v>1</c:v>
                </c:pt>
                <c:pt idx="7">
                  <c:v>16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596</c:v>
                </c:pt>
                <c:pt idx="13">
                  <c:v>180</c:v>
                </c:pt>
                <c:pt idx="14">
                  <c:v>0</c:v>
                </c:pt>
                <c:pt idx="15">
                  <c:v>0</c:v>
                </c:pt>
                <c:pt idx="16">
                  <c:v>199</c:v>
                </c:pt>
                <c:pt idx="17">
                  <c:v>1554</c:v>
                </c:pt>
                <c:pt idx="18">
                  <c:v>0</c:v>
                </c:pt>
                <c:pt idx="19">
                  <c:v>198</c:v>
                </c:pt>
                <c:pt idx="20">
                  <c:v>777</c:v>
                </c:pt>
                <c:pt idx="21">
                  <c:v>361</c:v>
                </c:pt>
                <c:pt idx="22">
                  <c:v>0</c:v>
                </c:pt>
                <c:pt idx="23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3A7-4B93-AC42-CB7499F775A6}"/>
            </c:ext>
          </c:extLst>
        </c:ser>
        <c:ser>
          <c:idx val="4"/>
          <c:order val="4"/>
          <c:tx>
            <c:strRef>
              <c:f>'Hourly Trend'!$F$1</c:f>
              <c:strCache>
                <c:ptCount val="1"/>
                <c:pt idx="0">
                  <c:v>Invalid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Trend'!$F$2:$F$25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3A7-4B93-AC42-CB7499F775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942023"/>
        <c:axId val="49858055"/>
      </c:lineChart>
      <c:catAx>
        <c:axId val="49942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58055"/>
        <c:crosses val="autoZero"/>
        <c:auto val="1"/>
        <c:lblAlgn val="ctr"/>
        <c:lblOffset val="100"/>
        <c:noMultiLvlLbl val="0"/>
      </c:catAx>
      <c:valAx>
        <c:axId val="49858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942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CTA-NQ_ED2P_CTAV</c:v>
                </c:pt>
                <c:pt idx="13">
                  <c:v>BRA-NQ_ED2P_ELOG</c:v>
                </c:pt>
                <c:pt idx="14">
                  <c:v>LON-NQ_ED2P_T_BORV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1346154</c:v>
                </c:pt>
                <c:pt idx="1">
                  <c:v>486420</c:v>
                </c:pt>
                <c:pt idx="2">
                  <c:v>218300</c:v>
                </c:pt>
                <c:pt idx="3">
                  <c:v>182726</c:v>
                </c:pt>
                <c:pt idx="4">
                  <c:v>86578</c:v>
                </c:pt>
                <c:pt idx="5">
                  <c:v>68026</c:v>
                </c:pt>
                <c:pt idx="6">
                  <c:v>42330</c:v>
                </c:pt>
                <c:pt idx="7">
                  <c:v>7236</c:v>
                </c:pt>
                <c:pt idx="8">
                  <c:v>5875</c:v>
                </c:pt>
                <c:pt idx="9">
                  <c:v>4018</c:v>
                </c:pt>
                <c:pt idx="10">
                  <c:v>3945</c:v>
                </c:pt>
                <c:pt idx="11">
                  <c:v>3580</c:v>
                </c:pt>
                <c:pt idx="12">
                  <c:v>926</c:v>
                </c:pt>
                <c:pt idx="13">
                  <c:v>777</c:v>
                </c:pt>
                <c:pt idx="14">
                  <c:v>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9E-402C-9B38-E9C40F57C2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0181127"/>
        <c:axId val="50183687"/>
      </c:barChart>
      <c:catAx>
        <c:axId val="501811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83687"/>
        <c:crosses val="autoZero"/>
        <c:auto val="1"/>
        <c:lblAlgn val="ctr"/>
        <c:lblOffset val="100"/>
        <c:noMultiLvlLbl val="0"/>
      </c:catAx>
      <c:valAx>
        <c:axId val="50183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81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Volume (top 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Application'!$A$2:$A$5</c:f>
              <c:strCache>
                <c:ptCount val="4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CREDIT CARD Custom Application</c:v>
                </c:pt>
                <c:pt idx="3">
                  <c:v>JOINT FINANCE Custom Application</c:v>
                </c:pt>
              </c:strCache>
            </c:strRef>
          </c:cat>
          <c:val>
            <c:numRef>
              <c:f>'By Application'!$B$2:$B$5</c:f>
              <c:numCache>
                <c:formatCode>#,##0</c:formatCode>
                <c:ptCount val="4"/>
                <c:pt idx="0">
                  <c:v>2457936</c:v>
                </c:pt>
                <c:pt idx="1">
                  <c:v>6</c:v>
                </c:pt>
                <c:pt idx="2">
                  <c:v>5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F2-4E03-8410-09452D2B8B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0189319"/>
        <c:axId val="50191367"/>
      </c:barChart>
      <c:catAx>
        <c:axId val="501893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91367"/>
        <c:crosses val="autoZero"/>
        <c:auto val="1"/>
        <c:lblAlgn val="ctr"/>
        <c:lblOffset val="100"/>
        <c:noMultiLvlLbl val="0"/>
      </c:catAx>
      <c:valAx>
        <c:axId val="50191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89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Volume (top 8)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Entity'!$A$2:$A$9</c:f>
              <c:strCache>
                <c:ptCount val="8"/>
                <c:pt idx="0">
                  <c:v>DEP</c:v>
                </c:pt>
                <c:pt idx="1">
                  <c:v>BRA</c:v>
                </c:pt>
                <c:pt idx="2">
                  <c:v>LON</c:v>
                </c:pt>
                <c:pt idx="3">
                  <c:v>CTA</c:v>
                </c:pt>
                <c:pt idx="4">
                  <c:v>MERCHANT BNI</c:v>
                </c:pt>
                <c:pt idx="5">
                  <c:v>ACCRUAL JF</c:v>
                </c:pt>
                <c:pt idx="6">
                  <c:v>JS10</c:v>
                </c:pt>
                <c:pt idx="7">
                  <c:v>JS06</c:v>
                </c:pt>
              </c:strCache>
            </c:strRef>
          </c:cat>
          <c:val>
            <c:numRef>
              <c:f>'By Entity'!$B$2:$B$9</c:f>
              <c:numCache>
                <c:formatCode>#,##0</c:formatCode>
                <c:ptCount val="8"/>
                <c:pt idx="0">
                  <c:v>2148226</c:v>
                </c:pt>
                <c:pt idx="1">
                  <c:v>226829</c:v>
                </c:pt>
                <c:pt idx="2">
                  <c:v>81955</c:v>
                </c:pt>
                <c:pt idx="3">
                  <c:v>926</c:v>
                </c:pt>
                <c:pt idx="4">
                  <c:v>5</c:v>
                </c:pt>
                <c:pt idx="5">
                  <c:v>4</c:v>
                </c:pt>
                <c:pt idx="6">
                  <c:v>4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47-42C9-BF9C-53959FB0EE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1810823"/>
        <c:axId val="51812871"/>
      </c:barChart>
      <c:catAx>
        <c:axId val="518108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12871"/>
        <c:crosses val="autoZero"/>
        <c:auto val="1"/>
        <c:lblAlgn val="ctr"/>
        <c:lblOffset val="100"/>
        <c:noMultiLvlLbl val="0"/>
      </c:catAx>
      <c:valAx>
        <c:axId val="51812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10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Type'!$A$2:$A$16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CTA-NQ_ED2P_CTAV</c:v>
                </c:pt>
                <c:pt idx="13">
                  <c:v>BRA-NQ_ED2P_ELOG</c:v>
                </c:pt>
                <c:pt idx="14">
                  <c:v>LON-NQ_ED2P_T_BORV</c:v>
                </c:pt>
              </c:strCache>
            </c:strRef>
          </c:cat>
          <c:val>
            <c:numRef>
              <c:f>'By Event Type'!$B$2:$B$16</c:f>
              <c:numCache>
                <c:formatCode>#,##0</c:formatCode>
                <c:ptCount val="15"/>
                <c:pt idx="0">
                  <c:v>1346154</c:v>
                </c:pt>
                <c:pt idx="1">
                  <c:v>486420</c:v>
                </c:pt>
                <c:pt idx="2">
                  <c:v>218300</c:v>
                </c:pt>
                <c:pt idx="3">
                  <c:v>182726</c:v>
                </c:pt>
                <c:pt idx="4">
                  <c:v>86578</c:v>
                </c:pt>
                <c:pt idx="5">
                  <c:v>68026</c:v>
                </c:pt>
                <c:pt idx="6">
                  <c:v>42330</c:v>
                </c:pt>
                <c:pt idx="7">
                  <c:v>7236</c:v>
                </c:pt>
                <c:pt idx="8">
                  <c:v>5875</c:v>
                </c:pt>
                <c:pt idx="9">
                  <c:v>4018</c:v>
                </c:pt>
                <c:pt idx="10">
                  <c:v>3945</c:v>
                </c:pt>
                <c:pt idx="11">
                  <c:v>3580</c:v>
                </c:pt>
                <c:pt idx="12">
                  <c:v>926</c:v>
                </c:pt>
                <c:pt idx="13">
                  <c:v>777</c:v>
                </c:pt>
                <c:pt idx="14">
                  <c:v>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7-4F56-A9DF-DB2A05E41D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1876359"/>
        <c:axId val="51878407"/>
      </c:barChart>
      <c:catAx>
        <c:axId val="518763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78407"/>
        <c:crosses val="autoZero"/>
        <c:auto val="1"/>
        <c:lblAlgn val="ctr"/>
        <c:lblOffset val="100"/>
        <c:noMultiLvlLbl val="0"/>
      </c:catAx>
      <c:valAx>
        <c:axId val="51878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76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Line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Line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Line Type'!$A$2:$A$16</c:f>
              <c:strCache>
                <c:ptCount val="15"/>
                <c:pt idx="0">
                  <c:v>04055</c:v>
                </c:pt>
                <c:pt idx="1">
                  <c:v>01045</c:v>
                </c:pt>
                <c:pt idx="2">
                  <c:v>01055</c:v>
                </c:pt>
                <c:pt idx="3">
                  <c:v>04045</c:v>
                </c:pt>
                <c:pt idx="4">
                  <c:v>98901</c:v>
                </c:pt>
                <c:pt idx="5">
                  <c:v>98091</c:v>
                </c:pt>
                <c:pt idx="6">
                  <c:v>24045</c:v>
                </c:pt>
                <c:pt idx="7">
                  <c:v>04060</c:v>
                </c:pt>
                <c:pt idx="8">
                  <c:v>98903</c:v>
                </c:pt>
                <c:pt idx="9">
                  <c:v>04061</c:v>
                </c:pt>
                <c:pt idx="10">
                  <c:v>24055</c:v>
                </c:pt>
                <c:pt idx="11">
                  <c:v>04010</c:v>
                </c:pt>
                <c:pt idx="12">
                  <c:v>01010</c:v>
                </c:pt>
                <c:pt idx="13">
                  <c:v>98481</c:v>
                </c:pt>
                <c:pt idx="14">
                  <c:v>99000</c:v>
                </c:pt>
              </c:strCache>
            </c:strRef>
          </c:cat>
          <c:val>
            <c:numRef>
              <c:f>'By Line Type'!$B$2:$B$16</c:f>
              <c:numCache>
                <c:formatCode>#,##0</c:formatCode>
                <c:ptCount val="15"/>
                <c:pt idx="0">
                  <c:v>494703</c:v>
                </c:pt>
                <c:pt idx="1">
                  <c:v>365763</c:v>
                </c:pt>
                <c:pt idx="2">
                  <c:v>294170</c:v>
                </c:pt>
                <c:pt idx="3">
                  <c:v>229579</c:v>
                </c:pt>
                <c:pt idx="4">
                  <c:v>182726</c:v>
                </c:pt>
                <c:pt idx="5">
                  <c:v>165079</c:v>
                </c:pt>
                <c:pt idx="6">
                  <c:v>157759</c:v>
                </c:pt>
                <c:pt idx="7">
                  <c:v>112928</c:v>
                </c:pt>
                <c:pt idx="8">
                  <c:v>43336</c:v>
                </c:pt>
                <c:pt idx="9">
                  <c:v>41906</c:v>
                </c:pt>
                <c:pt idx="10">
                  <c:v>38574</c:v>
                </c:pt>
                <c:pt idx="11">
                  <c:v>36482</c:v>
                </c:pt>
                <c:pt idx="12">
                  <c:v>26851</c:v>
                </c:pt>
                <c:pt idx="13">
                  <c:v>25146</c:v>
                </c:pt>
                <c:pt idx="14">
                  <c:v>24690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6B-4E93-B145-6EB19827A3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2184583"/>
        <c:axId val="52186631"/>
      </c:barChart>
      <c:catAx>
        <c:axId val="521845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86631"/>
        <c:crosses val="autoZero"/>
        <c:auto val="1"/>
        <c:lblAlgn val="ctr"/>
        <c:lblOffset val="100"/>
        <c:noMultiLvlLbl val="0"/>
      </c:catAx>
      <c:valAx>
        <c:axId val="52186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84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composition by Event Class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'Status Matrix'!$B$1</c:f>
              <c:strCache>
                <c:ptCount val="1"/>
                <c:pt idx="0">
                  <c:v>D Draft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CTA-NQ_ED2P_CTAV</c:v>
                </c:pt>
                <c:pt idx="13">
                  <c:v>BRA-NQ_ED2P_ELOG</c:v>
                </c:pt>
                <c:pt idx="14">
                  <c:v>LON-NQ_ED2P_T_BORV</c:v>
                </c:pt>
              </c:strCache>
            </c:strRef>
          </c:cat>
          <c:val>
            <c:numRef>
              <c:f>'Status Matrix'!$B$2:$B$16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5D-4506-BD8D-E58CD472830A}"/>
            </c:ext>
          </c:extLst>
        </c:ser>
        <c:ser>
          <c:idx val="1"/>
          <c:order val="1"/>
          <c:tx>
            <c:strRef>
              <c:f>'Status Matrix'!$C$1</c:f>
              <c:strCache>
                <c:ptCount val="1"/>
                <c:pt idx="0">
                  <c:v>U Unprocessed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CTA-NQ_ED2P_CTAV</c:v>
                </c:pt>
                <c:pt idx="13">
                  <c:v>BRA-NQ_ED2P_ELOG</c:v>
                </c:pt>
                <c:pt idx="14">
                  <c:v>LON-NQ_ED2P_T_BORV</c:v>
                </c:pt>
              </c:strCache>
            </c:strRef>
          </c:cat>
          <c:val>
            <c:numRef>
              <c:f>'Status Matrix'!$C$2:$C$16</c:f>
              <c:numCache>
                <c:formatCode>#,##0</c:formatCode>
                <c:ptCount val="15"/>
                <c:pt idx="0">
                  <c:v>638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2294</c:v>
                </c:pt>
                <c:pt idx="11">
                  <c:v>1059</c:v>
                </c:pt>
                <c:pt idx="12">
                  <c:v>129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5D-4506-BD8D-E58CD472830A}"/>
            </c:ext>
          </c:extLst>
        </c:ser>
        <c:ser>
          <c:idx val="2"/>
          <c:order val="2"/>
          <c:tx>
            <c:strRef>
              <c:f>'Status Matrix'!$D$1</c:f>
              <c:strCache>
                <c:ptCount val="1"/>
                <c:pt idx="0">
                  <c:v>P Processed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CTA-NQ_ED2P_CTAV</c:v>
                </c:pt>
                <c:pt idx="13">
                  <c:v>BRA-NQ_ED2P_ELOG</c:v>
                </c:pt>
                <c:pt idx="14">
                  <c:v>LON-NQ_ED2P_T_BORV</c:v>
                </c:pt>
              </c:strCache>
            </c:strRef>
          </c:cat>
          <c:val>
            <c:numRef>
              <c:f>'Status Matrix'!$D$2:$D$16</c:f>
              <c:numCache>
                <c:formatCode>#,##0</c:formatCode>
                <c:ptCount val="15"/>
                <c:pt idx="0">
                  <c:v>1345516</c:v>
                </c:pt>
                <c:pt idx="1">
                  <c:v>486420</c:v>
                </c:pt>
                <c:pt idx="2">
                  <c:v>218300</c:v>
                </c:pt>
                <c:pt idx="3">
                  <c:v>182726</c:v>
                </c:pt>
                <c:pt idx="4">
                  <c:v>86578</c:v>
                </c:pt>
                <c:pt idx="5">
                  <c:v>68026</c:v>
                </c:pt>
                <c:pt idx="6">
                  <c:v>42330</c:v>
                </c:pt>
                <c:pt idx="7">
                  <c:v>7236</c:v>
                </c:pt>
                <c:pt idx="8">
                  <c:v>5875</c:v>
                </c:pt>
                <c:pt idx="9">
                  <c:v>4018</c:v>
                </c:pt>
                <c:pt idx="10">
                  <c:v>1651</c:v>
                </c:pt>
                <c:pt idx="11">
                  <c:v>2521</c:v>
                </c:pt>
                <c:pt idx="12">
                  <c:v>797</c:v>
                </c:pt>
                <c:pt idx="13">
                  <c:v>777</c:v>
                </c:pt>
                <c:pt idx="14">
                  <c:v>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B5D-4506-BD8D-E58CD472830A}"/>
            </c:ext>
          </c:extLst>
        </c:ser>
        <c:ser>
          <c:idx val="3"/>
          <c:order val="3"/>
          <c:tx>
            <c:strRef>
              <c:f>'Status Matrix'!$E$1</c:f>
              <c:strCache>
                <c:ptCount val="1"/>
                <c:pt idx="0">
                  <c:v>F Final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CTA-NQ_ED2P_CTAV</c:v>
                </c:pt>
                <c:pt idx="13">
                  <c:v>BRA-NQ_ED2P_ELOG</c:v>
                </c:pt>
                <c:pt idx="14">
                  <c:v>LON-NQ_ED2P_T_BORV</c:v>
                </c:pt>
              </c:strCache>
            </c:strRef>
          </c:cat>
          <c:val>
            <c:numRef>
              <c:f>'Status Matrix'!$E$2:$E$16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B5D-4506-BD8D-E58CD472830A}"/>
            </c:ext>
          </c:extLst>
        </c:ser>
        <c:ser>
          <c:idx val="4"/>
          <c:order val="4"/>
          <c:tx>
            <c:strRef>
              <c:f>'Status Matrix'!$F$1</c:f>
              <c:strCache>
                <c:ptCount val="1"/>
                <c:pt idx="0">
                  <c:v>E Error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CTA-NQ_ED2P_CTAV</c:v>
                </c:pt>
                <c:pt idx="13">
                  <c:v>BRA-NQ_ED2P_ELOG</c:v>
                </c:pt>
                <c:pt idx="14">
                  <c:v>LON-NQ_ED2P_T_BORV</c:v>
                </c:pt>
              </c:strCache>
            </c:strRef>
          </c:cat>
          <c:val>
            <c:numRef>
              <c:f>'Status Matrix'!$F$2:$F$16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B5D-4506-BD8D-E58CD472830A}"/>
            </c:ext>
          </c:extLst>
        </c:ser>
        <c:ser>
          <c:idx val="5"/>
          <c:order val="5"/>
          <c:tx>
            <c:strRef>
              <c:f>'Status Matrix'!$G$1</c:f>
              <c:strCache>
                <c:ptCount val="1"/>
                <c:pt idx="0">
                  <c:v>R Related Event Error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CTA-NQ_ED2P_CTAV</c:v>
                </c:pt>
                <c:pt idx="13">
                  <c:v>BRA-NQ_ED2P_ELOG</c:v>
                </c:pt>
                <c:pt idx="14">
                  <c:v>LON-NQ_ED2P_T_BORV</c:v>
                </c:pt>
              </c:strCache>
            </c:strRef>
          </c:cat>
          <c:val>
            <c:numRef>
              <c:f>'Status Matrix'!$G$2:$G$16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B5D-4506-BD8D-E58CD472830A}"/>
            </c:ext>
          </c:extLst>
        </c:ser>
        <c:ser>
          <c:idx val="6"/>
          <c:order val="6"/>
          <c:tx>
            <c:strRef>
              <c:f>'Status Matrix'!$H$1</c:f>
              <c:strCache>
                <c:ptCount val="1"/>
                <c:pt idx="0">
                  <c:v>I Invalid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CTA-NQ_ED2P_CTAV</c:v>
                </c:pt>
                <c:pt idx="13">
                  <c:v>BRA-NQ_ED2P_ELOG</c:v>
                </c:pt>
                <c:pt idx="14">
                  <c:v>LON-NQ_ED2P_T_BORV</c:v>
                </c:pt>
              </c:strCache>
            </c:strRef>
          </c:cat>
          <c:val>
            <c:numRef>
              <c:f>'Status Matrix'!$H$2:$H$16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B5D-4506-BD8D-E58CD47283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9168135"/>
        <c:axId val="29170183"/>
      </c:barChart>
      <c:catAx>
        <c:axId val="29168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70183"/>
        <c:crosses val="autoZero"/>
        <c:auto val="1"/>
        <c:lblAlgn val="ctr"/>
        <c:lblOffset val="100"/>
        <c:noMultiLvlLbl val="0"/>
      </c:catAx>
      <c:valAx>
        <c:axId val="29170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68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Error Messages'!$B$1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Error Messages'!$A$2</c:f>
              <c:strCache>
                <c:ptCount val="1"/>
                <c:pt idx="0">
                  <c:v>(no error messages)</c:v>
                </c:pt>
              </c:strCache>
            </c:strRef>
          </c:cat>
          <c:val>
            <c:numRef>
              <c:f>'Top Error Messages'!$B$2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46-4DE4-8441-E24080D675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0126087"/>
        <c:axId val="30128135"/>
      </c:barChart>
      <c:catAx>
        <c:axId val="301260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28135"/>
        <c:crosses val="autoZero"/>
        <c:auto val="1"/>
        <c:lblAlgn val="ctr"/>
        <c:lblOffset val="100"/>
        <c:noMultiLvlLbl val="0"/>
      </c:catAx>
      <c:valAx>
        <c:axId val="30128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26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Count by Event 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Count by Event Class'!$B$1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Count by Event Class'!$A$2</c:f>
              <c:strCache>
                <c:ptCount val="1"/>
                <c:pt idx="0">
                  <c:v>(none)</c:v>
                </c:pt>
              </c:strCache>
            </c:strRef>
          </c:cat>
          <c:val>
            <c:numRef>
              <c:f>'Error Count by Event Class'!$B$2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BD-4B14-A372-9E3CDC94AB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0744583"/>
        <c:axId val="30746631"/>
      </c:barChart>
      <c:catAx>
        <c:axId val="307445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46631"/>
        <c:crosses val="autoZero"/>
        <c:auto val="1"/>
        <c:lblAlgn val="ctr"/>
        <c:lblOffset val="100"/>
        <c:noMultiLvlLbl val="0"/>
      </c:catAx>
      <c:valAx>
        <c:axId val="30746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44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Amount by Currency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Financial!$B$1</c:f>
              <c:strCache>
                <c:ptCount val="1"/>
                <c:pt idx="0">
                  <c:v>Base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Financial!$A$2:$A$20</c:f>
              <c:strCache>
                <c:ptCount val="19"/>
                <c:pt idx="0">
                  <c:v>IDR</c:v>
                </c:pt>
                <c:pt idx="1">
                  <c:v>USD</c:v>
                </c:pt>
                <c:pt idx="2">
                  <c:v>JPY</c:v>
                </c:pt>
                <c:pt idx="3">
                  <c:v>SGD</c:v>
                </c:pt>
                <c:pt idx="4">
                  <c:v>EUR</c:v>
                </c:pt>
                <c:pt idx="5">
                  <c:v>MYR</c:v>
                </c:pt>
                <c:pt idx="6">
                  <c:v>CNY</c:v>
                </c:pt>
                <c:pt idx="7">
                  <c:v>AUD</c:v>
                </c:pt>
                <c:pt idx="8">
                  <c:v>HKD</c:v>
                </c:pt>
                <c:pt idx="9">
                  <c:v>SAR</c:v>
                </c:pt>
                <c:pt idx="10">
                  <c:v>GBP</c:v>
                </c:pt>
                <c:pt idx="11">
                  <c:v>KRW</c:v>
                </c:pt>
                <c:pt idx="12">
                  <c:v>THB</c:v>
                </c:pt>
                <c:pt idx="13">
                  <c:v>CHF</c:v>
                </c:pt>
                <c:pt idx="14">
                  <c:v>CAD</c:v>
                </c:pt>
                <c:pt idx="15">
                  <c:v>NZD</c:v>
                </c:pt>
                <c:pt idx="16">
                  <c:v>AED</c:v>
                </c:pt>
                <c:pt idx="17">
                  <c:v>TWD</c:v>
                </c:pt>
                <c:pt idx="18">
                  <c:v>BND</c:v>
                </c:pt>
              </c:strCache>
            </c:strRef>
          </c:cat>
          <c:val>
            <c:numRef>
              <c:f>Financial!$B$2:$B$20</c:f>
              <c:numCache>
                <c:formatCode>#,##0</c:formatCode>
                <c:ptCount val="19"/>
                <c:pt idx="0">
                  <c:v>324152181465289</c:v>
                </c:pt>
                <c:pt idx="1">
                  <c:v>2864250898705</c:v>
                </c:pt>
                <c:pt idx="2">
                  <c:v>45118297241</c:v>
                </c:pt>
                <c:pt idx="3">
                  <c:v>416386658763</c:v>
                </c:pt>
                <c:pt idx="4">
                  <c:v>149518637988</c:v>
                </c:pt>
                <c:pt idx="5">
                  <c:v>4618122849</c:v>
                </c:pt>
                <c:pt idx="6">
                  <c:v>107204601843</c:v>
                </c:pt>
                <c:pt idx="7">
                  <c:v>6393226379</c:v>
                </c:pt>
                <c:pt idx="8">
                  <c:v>1889665225</c:v>
                </c:pt>
                <c:pt idx="9">
                  <c:v>338921404</c:v>
                </c:pt>
                <c:pt idx="10">
                  <c:v>2339888552</c:v>
                </c:pt>
                <c:pt idx="11">
                  <c:v>190076629</c:v>
                </c:pt>
                <c:pt idx="12">
                  <c:v>82457032</c:v>
                </c:pt>
                <c:pt idx="13">
                  <c:v>4599405160</c:v>
                </c:pt>
                <c:pt idx="14">
                  <c:v>114210446</c:v>
                </c:pt>
                <c:pt idx="15">
                  <c:v>95048228</c:v>
                </c:pt>
                <c:pt idx="16">
                  <c:v>1136986980</c:v>
                </c:pt>
                <c:pt idx="17">
                  <c:v>462100</c:v>
                </c:pt>
                <c:pt idx="18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21-4BBE-8233-320937FD12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1793159"/>
        <c:axId val="31795207"/>
      </c:barChart>
      <c:catAx>
        <c:axId val="317931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95207"/>
        <c:crosses val="autoZero"/>
        <c:auto val="1"/>
        <c:lblAlgn val="ctr"/>
        <c:lblOffset val="100"/>
        <c:noMultiLvlLbl val="0"/>
      </c:catAx>
      <c:valAx>
        <c:axId val="31795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93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Stuck Value by Event Class (Errored / Unprocessed)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Financial!$B$25</c:f>
              <c:strCache>
                <c:ptCount val="1"/>
                <c:pt idx="0">
                  <c:v>Errored Base Amt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Financial!$A$26:$A$29</c:f>
              <c:strCache>
                <c:ptCount val="4"/>
                <c:pt idx="0">
                  <c:v>LON-NQ_ED2P_BORV</c:v>
                </c:pt>
                <c:pt idx="1">
                  <c:v>LON-Q_GLCP_BORV</c:v>
                </c:pt>
                <c:pt idx="2">
                  <c:v>CTA-NQ_ED2P_CTAV</c:v>
                </c:pt>
                <c:pt idx="3">
                  <c:v>DEP-NQ_ED2P_INVV</c:v>
                </c:pt>
              </c:strCache>
            </c:strRef>
          </c:cat>
          <c:val>
            <c:numRef>
              <c:f>Financial!$B$26:$B$29</c:f>
              <c:numCache>
                <c:formatCode>#,##0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A9-4CBF-9DE4-14AFF8822C4C}"/>
            </c:ext>
          </c:extLst>
        </c:ser>
        <c:ser>
          <c:idx val="1"/>
          <c:order val="1"/>
          <c:tx>
            <c:strRef>
              <c:f>Financial!$C$25</c:f>
              <c:strCache>
                <c:ptCount val="1"/>
                <c:pt idx="0">
                  <c:v>Unprocessed Base Amt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Financial!$A$26:$A$29</c:f>
              <c:strCache>
                <c:ptCount val="4"/>
                <c:pt idx="0">
                  <c:v>LON-NQ_ED2P_BORV</c:v>
                </c:pt>
                <c:pt idx="1">
                  <c:v>LON-Q_GLCP_BORV</c:v>
                </c:pt>
                <c:pt idx="2">
                  <c:v>CTA-NQ_ED2P_CTAV</c:v>
                </c:pt>
                <c:pt idx="3">
                  <c:v>DEP-NQ_ED2P_INVV</c:v>
                </c:pt>
              </c:strCache>
            </c:strRef>
          </c:cat>
          <c:val>
            <c:numRef>
              <c:f>Financial!$C$26:$C$29</c:f>
              <c:numCache>
                <c:formatCode>#,##0</c:formatCode>
                <c:ptCount val="4"/>
                <c:pt idx="0">
                  <c:v>1401393418817</c:v>
                </c:pt>
                <c:pt idx="1">
                  <c:v>1153824967362</c:v>
                </c:pt>
                <c:pt idx="2">
                  <c:v>130635538217</c:v>
                </c:pt>
                <c:pt idx="3">
                  <c:v>54632421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6A9-4CBF-9DE4-14AFF8822C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8377863"/>
        <c:axId val="48379911"/>
      </c:barChart>
      <c:catAx>
        <c:axId val="483778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79911"/>
        <c:crosses val="autoZero"/>
        <c:auto val="1"/>
        <c:lblAlgn val="ctr"/>
        <c:lblOffset val="100"/>
        <c:noMultiLvlLbl val="0"/>
      </c:catAx>
      <c:valAx>
        <c:axId val="48379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77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10'!$A$2:$A$11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</c:strCache>
            </c:strRef>
          </c:cat>
          <c:val>
            <c:numRef>
              <c:f>'Top 10'!$B$2:$B$11</c:f>
              <c:numCache>
                <c:formatCode>#,##0</c:formatCode>
                <c:ptCount val="10"/>
                <c:pt idx="0">
                  <c:v>1346154</c:v>
                </c:pt>
                <c:pt idx="1">
                  <c:v>486420</c:v>
                </c:pt>
                <c:pt idx="2">
                  <c:v>218300</c:v>
                </c:pt>
                <c:pt idx="3">
                  <c:v>182726</c:v>
                </c:pt>
                <c:pt idx="4">
                  <c:v>86578</c:v>
                </c:pt>
                <c:pt idx="5">
                  <c:v>68026</c:v>
                </c:pt>
                <c:pt idx="6">
                  <c:v>42330</c:v>
                </c:pt>
                <c:pt idx="7">
                  <c:v>7236</c:v>
                </c:pt>
                <c:pt idx="8">
                  <c:v>5875</c:v>
                </c:pt>
                <c:pt idx="9">
                  <c:v>4018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54-4E1D-8709-D7F50F41C8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8441351"/>
        <c:axId val="48463879"/>
      </c:barChart>
      <c:catAx>
        <c:axId val="484413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63879"/>
        <c:crosses val="autoZero"/>
        <c:auto val="1"/>
        <c:lblAlgn val="ctr"/>
        <c:lblOffset val="100"/>
        <c:noMultiLvlLbl val="0"/>
      </c:catAx>
      <c:valAx>
        <c:axId val="48463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41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10'!$B$14</c:f>
              <c:strCache>
                <c:ptCount val="1"/>
                <c:pt idx="0">
                  <c:v>Error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10'!$A$15:$A$24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</c:strCache>
            </c:strRef>
          </c:cat>
          <c:val>
            <c:numRef>
              <c:f>'Top 10'!$B$15:$B$24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B9-4A97-B932-A28BFFD21E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8710151"/>
        <c:axId val="48712199"/>
      </c:barChart>
      <c:catAx>
        <c:axId val="487101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12199"/>
        <c:crosses val="autoZero"/>
        <c:auto val="1"/>
        <c:lblAlgn val="ctr"/>
        <c:lblOffset val="100"/>
        <c:noMultiLvlLbl val="0"/>
      </c:catAx>
      <c:valAx>
        <c:axId val="48712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10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Unprocessed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10'!$B$27</c:f>
              <c:strCache>
                <c:ptCount val="1"/>
                <c:pt idx="0">
                  <c:v>Unprocessed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10'!$A$28:$A$31</c:f>
              <c:strCache>
                <c:ptCount val="4"/>
                <c:pt idx="0">
                  <c:v>LON-NQ_ED2P_BORV</c:v>
                </c:pt>
                <c:pt idx="1">
                  <c:v>LON-Q_GLCP_BORV</c:v>
                </c:pt>
                <c:pt idx="2">
                  <c:v>DEP-NQ_ED2P_INVV</c:v>
                </c:pt>
                <c:pt idx="3">
                  <c:v>CTA-NQ_ED2P_CTAV</c:v>
                </c:pt>
              </c:strCache>
            </c:strRef>
          </c:cat>
          <c:val>
            <c:numRef>
              <c:f>'Top 10'!$B$28:$B$31</c:f>
              <c:numCache>
                <c:formatCode>#,##0</c:formatCode>
                <c:ptCount val="4"/>
                <c:pt idx="0">
                  <c:v>2294</c:v>
                </c:pt>
                <c:pt idx="1">
                  <c:v>1059</c:v>
                </c:pt>
                <c:pt idx="2">
                  <c:v>638</c:v>
                </c:pt>
                <c:pt idx="3">
                  <c:v>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34-4A1F-9B7F-2602D1C3F2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0144007"/>
        <c:axId val="30146055"/>
      </c:barChart>
      <c:catAx>
        <c:axId val="301440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46055"/>
        <c:crosses val="autoZero"/>
        <c:auto val="1"/>
        <c:lblAlgn val="ctr"/>
        <c:lblOffset val="100"/>
        <c:noMultiLvlLbl val="0"/>
      </c:catAx>
      <c:valAx>
        <c:axId val="30146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44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C2B28E-B9DC-8A68-799D-29643D5C00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6C7EF3-674F-3659-9C74-F7E1295740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9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C7310E7-DAD7-C571-12F5-CF14655E4D10}"/>
            </a:ext>
            <a:ext uri="{147F2762-F138-4A5C-976F-8EAC2B608ADB}">
              <a16:predDERef xmlns:a16="http://schemas.microsoft.com/office/drawing/2014/main" pred="{126C7EF3-674F-3659-9C74-F7E1295740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8D3485-70DF-90A6-61E4-50AAF43E80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E82687-5C88-312C-D3D4-A84AABF243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5E7925-AF6A-C6B1-0AEF-B448B47592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FB5CAF-961B-1FD6-4219-68A8EEAC43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37E9F6-0BD1-8959-6BF8-977C4EF1D9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15E5B3-7D2C-040B-2D72-FA1E22E84D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55DD8B-1E2F-077B-2737-EE5EBE7262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134A33-D219-046C-A4DC-4C6D57BED4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28B2A7-C792-A625-6A17-1CE2441FB3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A9B274-4FAD-A9F2-54A4-72E4C96561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24</xdr:row>
      <xdr:rowOff>0</xdr:rowOff>
    </xdr:from>
    <xdr:to>
      <xdr:col>16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120E4FB-E906-DB69-B8D2-0569F78C66DA}"/>
            </a:ext>
            <a:ext uri="{147F2762-F138-4A5C-976F-8EAC2B608ADB}">
              <a16:predDERef xmlns:a16="http://schemas.microsoft.com/office/drawing/2014/main" pred="{75A9B274-4FAD-A9F2-54A4-72E4C96561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16</xdr:col>
      <xdr:colOff>0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6398AA-A907-98FD-7E90-DC25A55FAC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13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E6E79F1-0B75-6363-17A6-3B9A8B4BCEB6}"/>
            </a:ext>
            <a:ext uri="{147F2762-F138-4A5C-976F-8EAC2B608ADB}">
              <a16:predDERef xmlns:a16="http://schemas.microsoft.com/office/drawing/2014/main" pred="{216398AA-A907-98FD-7E90-DC25A55FAC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26</xdr:row>
      <xdr:rowOff>0</xdr:rowOff>
    </xdr:from>
    <xdr:to>
      <xdr:col>16</xdr:col>
      <xdr:colOff>0</xdr:colOff>
      <xdr:row>39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A38BC97-C8E0-77AD-473A-2048D16991FA}"/>
            </a:ext>
            <a:ext uri="{147F2762-F138-4A5C-976F-8EAC2B608ADB}">
              <a16:predDERef xmlns:a16="http://schemas.microsoft.com/office/drawing/2014/main" pred="{3E6E79F1-0B75-6363-17A6-3B9A8B4BCE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zoomScaleNormal="100" zoomScaleSheetLayoutView="100" workbookViewId="0"/>
  </sheetViews>
  <sheetFormatPr defaultRowHeight="15"/>
  <cols>
    <col min="1" max="1" width="42" customWidth="1"/>
    <col min="2" max="2" width="17" customWidth="1"/>
    <col min="3" max="3" width="10" customWidth="1"/>
    <col min="4" max="4" width="23" customWidth="1"/>
    <col min="5" max="5" width="10" customWidth="1"/>
  </cols>
  <sheetData>
    <row r="1" spans="1:5" s="1" customFormat="1">
      <c r="A1" s="1" t="s">
        <v>0</v>
      </c>
    </row>
    <row r="2" spans="1:5">
      <c r="A2" t="s">
        <v>1</v>
      </c>
    </row>
    <row r="3" spans="1:5">
      <c r="A3" t="s">
        <v>2</v>
      </c>
    </row>
    <row r="5" spans="1:5">
      <c r="A5" s="2" t="s">
        <v>3</v>
      </c>
      <c r="B5" s="2" t="s">
        <v>4</v>
      </c>
      <c r="D5" s="3" t="s">
        <v>5</v>
      </c>
      <c r="E5" s="3" t="s">
        <v>6</v>
      </c>
    </row>
    <row r="6" spans="1:5">
      <c r="A6" t="s">
        <v>7</v>
      </c>
      <c r="B6" s="4">
        <v>2457951</v>
      </c>
      <c r="D6" t="s">
        <v>8</v>
      </c>
      <c r="E6" s="4">
        <v>0</v>
      </c>
    </row>
    <row r="7" spans="1:5">
      <c r="A7" t="s">
        <v>9</v>
      </c>
      <c r="B7" s="4">
        <v>198901</v>
      </c>
      <c r="D7" t="s">
        <v>10</v>
      </c>
      <c r="E7" s="4">
        <v>4120</v>
      </c>
    </row>
    <row r="8" spans="1:5">
      <c r="A8" t="s">
        <v>11</v>
      </c>
      <c r="B8" s="4">
        <v>2453831</v>
      </c>
      <c r="D8" t="s">
        <v>12</v>
      </c>
      <c r="E8" s="4">
        <v>2453831</v>
      </c>
    </row>
    <row r="9" spans="1:5">
      <c r="A9" t="s">
        <v>13</v>
      </c>
      <c r="B9" s="4">
        <v>0</v>
      </c>
      <c r="D9" t="s">
        <v>14</v>
      </c>
      <c r="E9" s="4">
        <v>0</v>
      </c>
    </row>
    <row r="10" spans="1:5">
      <c r="A10" t="s">
        <v>15</v>
      </c>
      <c r="B10" s="4">
        <v>4120</v>
      </c>
      <c r="D10" t="s">
        <v>16</v>
      </c>
      <c r="E10" s="4">
        <v>0</v>
      </c>
    </row>
    <row r="11" spans="1:5">
      <c r="A11" t="s">
        <v>17</v>
      </c>
      <c r="B11" s="4">
        <v>0</v>
      </c>
      <c r="D11" t="s">
        <v>18</v>
      </c>
      <c r="E11" s="4">
        <v>0</v>
      </c>
    </row>
    <row r="12" spans="1:5">
      <c r="A12" t="s">
        <v>19</v>
      </c>
      <c r="B12" s="4">
        <v>0</v>
      </c>
      <c r="D12" t="s">
        <v>20</v>
      </c>
      <c r="E12" s="4">
        <v>0</v>
      </c>
    </row>
    <row r="13" spans="1:5">
      <c r="A13" t="s">
        <v>21</v>
      </c>
      <c r="B13" s="5">
        <v>99.83</v>
      </c>
    </row>
    <row r="14" spans="1:5">
      <c r="A14" t="s">
        <v>22</v>
      </c>
      <c r="B14" s="4">
        <v>0</v>
      </c>
    </row>
    <row r="15" spans="1:5">
      <c r="A15" t="s">
        <v>23</v>
      </c>
      <c r="B15" s="5">
        <v>0.17</v>
      </c>
    </row>
    <row r="16" spans="1:5">
      <c r="A16" t="s">
        <v>24</v>
      </c>
      <c r="B16" s="4">
        <v>0</v>
      </c>
    </row>
    <row r="17" spans="1:2">
      <c r="A17" t="s">
        <v>25</v>
      </c>
      <c r="B17" s="4">
        <v>0</v>
      </c>
    </row>
    <row r="18" spans="1:2">
      <c r="A18" t="s">
        <v>26</v>
      </c>
      <c r="B18" s="4">
        <v>24</v>
      </c>
    </row>
    <row r="19" spans="1:2">
      <c r="A19" t="s">
        <v>27</v>
      </c>
      <c r="B19" s="4">
        <v>4</v>
      </c>
    </row>
    <row r="20" spans="1:2">
      <c r="A20" t="s">
        <v>28</v>
      </c>
      <c r="B20" s="4">
        <v>8</v>
      </c>
    </row>
    <row r="21" spans="1:2">
      <c r="A21" t="s">
        <v>29</v>
      </c>
      <c r="B21" s="4">
        <v>324201384637652</v>
      </c>
    </row>
    <row r="22" spans="1:2">
      <c r="A22" t="s">
        <v>30</v>
      </c>
      <c r="B22" s="4">
        <v>327756459030913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zoomScaleNormal="100" zoomScaleSheetLayoutView="100" workbookViewId="0"/>
  </sheetViews>
  <sheetFormatPr defaultRowHeight="15"/>
  <cols>
    <col min="1" max="2" width="10" customWidth="1"/>
    <col min="3" max="3" width="21" customWidth="1"/>
    <col min="4" max="4" width="10" customWidth="1"/>
  </cols>
  <sheetData>
    <row r="1" spans="1:4">
      <c r="A1" s="2" t="s">
        <v>31</v>
      </c>
      <c r="B1" s="2" t="s">
        <v>6</v>
      </c>
      <c r="C1" s="2" t="s">
        <v>32</v>
      </c>
      <c r="D1" s="2" t="s">
        <v>33</v>
      </c>
    </row>
    <row r="2" spans="1:4">
      <c r="A2" t="s">
        <v>34</v>
      </c>
      <c r="B2" s="4">
        <v>0</v>
      </c>
      <c r="C2" t="s">
        <v>35</v>
      </c>
      <c r="D2" s="4">
        <v>0</v>
      </c>
    </row>
    <row r="3" spans="1:4">
      <c r="A3" t="s">
        <v>36</v>
      </c>
      <c r="B3" s="4">
        <v>4120</v>
      </c>
      <c r="C3" t="s">
        <v>37</v>
      </c>
      <c r="D3" s="5">
        <v>0.17</v>
      </c>
    </row>
    <row r="4" spans="1:4">
      <c r="A4" t="s">
        <v>38</v>
      </c>
      <c r="B4" s="4">
        <v>2453831</v>
      </c>
      <c r="C4" t="s">
        <v>39</v>
      </c>
      <c r="D4" s="5">
        <v>99.83</v>
      </c>
    </row>
    <row r="5" spans="1:4">
      <c r="A5" t="s">
        <v>40</v>
      </c>
      <c r="B5" s="4">
        <v>0</v>
      </c>
      <c r="C5" t="s">
        <v>41</v>
      </c>
      <c r="D5" s="4">
        <v>0</v>
      </c>
    </row>
    <row r="6" spans="1:4">
      <c r="A6" t="s">
        <v>42</v>
      </c>
      <c r="B6" s="4">
        <v>0</v>
      </c>
      <c r="C6" t="s">
        <v>43</v>
      </c>
      <c r="D6" s="4">
        <v>0</v>
      </c>
    </row>
    <row r="7" spans="1:4">
      <c r="A7" t="s">
        <v>44</v>
      </c>
      <c r="B7" s="4">
        <v>0</v>
      </c>
      <c r="C7" t="s">
        <v>45</v>
      </c>
      <c r="D7" s="4">
        <v>0</v>
      </c>
    </row>
    <row r="8" spans="1:4">
      <c r="A8" t="s">
        <v>46</v>
      </c>
      <c r="B8" s="4">
        <v>0</v>
      </c>
      <c r="C8" t="s">
        <v>47</v>
      </c>
      <c r="D8" s="4">
        <v>0</v>
      </c>
    </row>
    <row r="10" spans="1:4">
      <c r="A10" s="2" t="s">
        <v>48</v>
      </c>
      <c r="B10" s="2" t="s">
        <v>6</v>
      </c>
      <c r="C10" s="2" t="s">
        <v>32</v>
      </c>
      <c r="D10" s="2" t="s">
        <v>33</v>
      </c>
    </row>
    <row r="11" spans="1:4">
      <c r="A11" t="s">
        <v>49</v>
      </c>
      <c r="B11" s="4">
        <v>2457951</v>
      </c>
      <c r="C11" t="s">
        <v>50</v>
      </c>
      <c r="D11" s="4">
        <v>100</v>
      </c>
    </row>
    <row r="12" spans="1:4">
      <c r="A12" t="s">
        <v>42</v>
      </c>
      <c r="B12" s="4">
        <v>0</v>
      </c>
      <c r="C12" t="s">
        <v>43</v>
      </c>
      <c r="D12" s="4">
        <v>0</v>
      </c>
    </row>
    <row r="13" spans="1:4">
      <c r="A13" t="s">
        <v>51</v>
      </c>
      <c r="B13" s="4">
        <v>0</v>
      </c>
      <c r="C13" t="s">
        <v>52</v>
      </c>
      <c r="D13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5"/>
  <sheetViews>
    <sheetView zoomScaleNormal="100" zoomScaleSheetLayoutView="100" workbookViewId="0"/>
  </sheetViews>
  <sheetFormatPr defaultRowHeight="15"/>
  <cols>
    <col min="1" max="2" width="10" customWidth="1"/>
    <col min="3" max="3" width="11" customWidth="1"/>
    <col min="4" max="4" width="10" customWidth="1"/>
    <col min="5" max="5" width="13" customWidth="1"/>
    <col min="6" max="6" width="10" customWidth="1"/>
  </cols>
  <sheetData>
    <row r="1" spans="1:6">
      <c r="A1" s="2" t="s">
        <v>53</v>
      </c>
      <c r="B1" s="2" t="s">
        <v>54</v>
      </c>
      <c r="C1" s="2" t="s">
        <v>55</v>
      </c>
      <c r="D1" s="2" t="s">
        <v>43</v>
      </c>
      <c r="E1" s="2" t="s">
        <v>37</v>
      </c>
      <c r="F1" s="2" t="s">
        <v>47</v>
      </c>
    </row>
    <row r="2" spans="1:6">
      <c r="A2" t="s">
        <v>56</v>
      </c>
      <c r="B2" s="4">
        <v>395926</v>
      </c>
      <c r="C2" s="4">
        <v>395832</v>
      </c>
      <c r="D2" s="4">
        <v>0</v>
      </c>
      <c r="E2" s="4">
        <v>94</v>
      </c>
      <c r="F2" s="4">
        <v>0</v>
      </c>
    </row>
    <row r="3" spans="1:6">
      <c r="A3" t="s">
        <v>57</v>
      </c>
      <c r="B3" s="4">
        <v>0</v>
      </c>
      <c r="C3" s="4">
        <v>0</v>
      </c>
      <c r="D3" s="4">
        <v>0</v>
      </c>
      <c r="E3" s="4">
        <v>0</v>
      </c>
      <c r="F3" s="4">
        <v>0</v>
      </c>
    </row>
    <row r="4" spans="1:6">
      <c r="A4" t="s">
        <v>58</v>
      </c>
      <c r="B4" s="4">
        <v>0</v>
      </c>
      <c r="C4" s="4">
        <v>0</v>
      </c>
      <c r="D4" s="4">
        <v>0</v>
      </c>
      <c r="E4" s="4">
        <v>0</v>
      </c>
      <c r="F4" s="4">
        <v>0</v>
      </c>
    </row>
    <row r="5" spans="1:6">
      <c r="A5" t="s">
        <v>59</v>
      </c>
      <c r="B5" s="4">
        <v>82</v>
      </c>
      <c r="C5" s="4">
        <v>82</v>
      </c>
      <c r="D5" s="4">
        <v>0</v>
      </c>
      <c r="E5" s="4">
        <v>0</v>
      </c>
      <c r="F5" s="4">
        <v>0</v>
      </c>
    </row>
    <row r="6" spans="1:6">
      <c r="A6" t="s">
        <v>60</v>
      </c>
      <c r="B6" s="4">
        <v>205</v>
      </c>
      <c r="C6" s="4">
        <v>204</v>
      </c>
      <c r="D6" s="4">
        <v>0</v>
      </c>
      <c r="E6" s="4">
        <v>1</v>
      </c>
      <c r="F6" s="4">
        <v>0</v>
      </c>
    </row>
    <row r="7" spans="1:6">
      <c r="A7" t="s">
        <v>61</v>
      </c>
      <c r="B7" s="4">
        <v>107234</v>
      </c>
      <c r="C7" s="4">
        <v>107115</v>
      </c>
      <c r="D7" s="4">
        <v>0</v>
      </c>
      <c r="E7" s="4">
        <v>119</v>
      </c>
      <c r="F7" s="4">
        <v>0</v>
      </c>
    </row>
    <row r="8" spans="1:6">
      <c r="A8" t="s">
        <v>62</v>
      </c>
      <c r="B8" s="4">
        <v>41859</v>
      </c>
      <c r="C8" s="4">
        <v>41858</v>
      </c>
      <c r="D8" s="4">
        <v>0</v>
      </c>
      <c r="E8" s="4">
        <v>1</v>
      </c>
      <c r="F8" s="4">
        <v>0</v>
      </c>
    </row>
    <row r="9" spans="1:6">
      <c r="A9" t="s">
        <v>63</v>
      </c>
      <c r="B9" s="4">
        <v>79529</v>
      </c>
      <c r="C9" s="4">
        <v>79513</v>
      </c>
      <c r="D9" s="4">
        <v>0</v>
      </c>
      <c r="E9" s="4">
        <v>16</v>
      </c>
      <c r="F9" s="4">
        <v>0</v>
      </c>
    </row>
    <row r="10" spans="1:6">
      <c r="A10" t="s">
        <v>64</v>
      </c>
      <c r="B10" s="4">
        <v>25862</v>
      </c>
      <c r="C10" s="4">
        <v>25862</v>
      </c>
      <c r="D10" s="4">
        <v>0</v>
      </c>
      <c r="E10" s="4">
        <v>0</v>
      </c>
      <c r="F10" s="4">
        <v>0</v>
      </c>
    </row>
    <row r="11" spans="1:6">
      <c r="A11" t="s">
        <v>65</v>
      </c>
      <c r="B11" s="4">
        <v>182736</v>
      </c>
      <c r="C11" s="4">
        <v>182736</v>
      </c>
      <c r="D11" s="4">
        <v>0</v>
      </c>
      <c r="E11" s="4">
        <v>0</v>
      </c>
      <c r="F11" s="4">
        <v>0</v>
      </c>
    </row>
    <row r="12" spans="1:6">
      <c r="A12" t="s">
        <v>66</v>
      </c>
      <c r="B12" s="4">
        <v>68026</v>
      </c>
      <c r="C12" s="4">
        <v>68026</v>
      </c>
      <c r="D12" s="4">
        <v>0</v>
      </c>
      <c r="E12" s="4">
        <v>0</v>
      </c>
      <c r="F12" s="4">
        <v>0</v>
      </c>
    </row>
    <row r="13" spans="1:6">
      <c r="A13" t="s">
        <v>67</v>
      </c>
      <c r="B13" s="4">
        <v>53426</v>
      </c>
      <c r="C13" s="4">
        <v>53426</v>
      </c>
      <c r="D13" s="4">
        <v>0</v>
      </c>
      <c r="E13" s="4">
        <v>0</v>
      </c>
      <c r="F13" s="4">
        <v>0</v>
      </c>
    </row>
    <row r="14" spans="1:6">
      <c r="A14" t="s">
        <v>68</v>
      </c>
      <c r="B14" s="4">
        <v>414962</v>
      </c>
      <c r="C14" s="4">
        <v>414366</v>
      </c>
      <c r="D14" s="4">
        <v>0</v>
      </c>
      <c r="E14" s="4">
        <v>596</v>
      </c>
      <c r="F14" s="4">
        <v>0</v>
      </c>
    </row>
    <row r="15" spans="1:6">
      <c r="A15" t="s">
        <v>69</v>
      </c>
      <c r="B15" s="4">
        <v>954</v>
      </c>
      <c r="C15" s="4">
        <v>774</v>
      </c>
      <c r="D15" s="4">
        <v>0</v>
      </c>
      <c r="E15" s="4">
        <v>180</v>
      </c>
      <c r="F15" s="4">
        <v>0</v>
      </c>
    </row>
    <row r="16" spans="1:6">
      <c r="A16" t="s">
        <v>70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</row>
    <row r="17" spans="1:6">
      <c r="A17" t="s">
        <v>71</v>
      </c>
      <c r="B17" s="4">
        <v>53209</v>
      </c>
      <c r="C17" s="4">
        <v>53209</v>
      </c>
      <c r="D17" s="4">
        <v>0</v>
      </c>
      <c r="E17" s="4">
        <v>0</v>
      </c>
      <c r="F17" s="4">
        <v>0</v>
      </c>
    </row>
    <row r="18" spans="1:6">
      <c r="A18" t="s">
        <v>72</v>
      </c>
      <c r="B18" s="4">
        <v>492429</v>
      </c>
      <c r="C18" s="4">
        <v>492230</v>
      </c>
      <c r="D18" s="4">
        <v>0</v>
      </c>
      <c r="E18" s="4">
        <v>199</v>
      </c>
      <c r="F18" s="4">
        <v>0</v>
      </c>
    </row>
    <row r="19" spans="1:6">
      <c r="A19" t="s">
        <v>73</v>
      </c>
      <c r="B19" s="4">
        <v>26378</v>
      </c>
      <c r="C19" s="4">
        <v>24824</v>
      </c>
      <c r="D19" s="4">
        <v>0</v>
      </c>
      <c r="E19" s="4">
        <v>1554</v>
      </c>
      <c r="F19" s="4">
        <v>0</v>
      </c>
    </row>
    <row r="20" spans="1:6">
      <c r="A20" t="s">
        <v>74</v>
      </c>
      <c r="B20" s="4">
        <v>20</v>
      </c>
      <c r="C20" s="4">
        <v>20</v>
      </c>
      <c r="D20" s="4">
        <v>0</v>
      </c>
      <c r="E20" s="4">
        <v>0</v>
      </c>
      <c r="F20" s="4">
        <v>0</v>
      </c>
    </row>
    <row r="21" spans="1:6">
      <c r="A21" t="s">
        <v>75</v>
      </c>
      <c r="B21" s="4">
        <v>382037</v>
      </c>
      <c r="C21" s="4">
        <v>381839</v>
      </c>
      <c r="D21" s="4">
        <v>0</v>
      </c>
      <c r="E21" s="4">
        <v>198</v>
      </c>
      <c r="F21" s="4">
        <v>0</v>
      </c>
    </row>
    <row r="22" spans="1:6">
      <c r="A22" t="s">
        <v>76</v>
      </c>
      <c r="B22" s="4">
        <v>84978</v>
      </c>
      <c r="C22" s="4">
        <v>84201</v>
      </c>
      <c r="D22" s="4">
        <v>0</v>
      </c>
      <c r="E22" s="4">
        <v>777</v>
      </c>
      <c r="F22" s="4">
        <v>0</v>
      </c>
    </row>
    <row r="23" spans="1:6">
      <c r="A23" t="s">
        <v>77</v>
      </c>
      <c r="B23" s="4">
        <v>7178</v>
      </c>
      <c r="C23" s="4">
        <v>6817</v>
      </c>
      <c r="D23" s="4">
        <v>0</v>
      </c>
      <c r="E23" s="4">
        <v>361</v>
      </c>
      <c r="F23" s="4">
        <v>0</v>
      </c>
    </row>
    <row r="24" spans="1:6">
      <c r="A24" t="s">
        <v>78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</row>
    <row r="25" spans="1:6">
      <c r="A25" t="s">
        <v>79</v>
      </c>
      <c r="B25" s="4">
        <v>40921</v>
      </c>
      <c r="C25" s="4">
        <v>40897</v>
      </c>
      <c r="D25" s="4">
        <v>0</v>
      </c>
      <c r="E25" s="4">
        <v>24</v>
      </c>
      <c r="F25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5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7" customWidth="1"/>
  </cols>
  <sheetData>
    <row r="1" spans="1:14">
      <c r="A1" s="2" t="s">
        <v>80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88</v>
      </c>
      <c r="B2" s="4">
        <v>1346154</v>
      </c>
      <c r="C2" s="4">
        <v>1345516</v>
      </c>
      <c r="D2" s="4">
        <v>0</v>
      </c>
      <c r="E2" s="4">
        <v>0</v>
      </c>
      <c r="F2" s="4">
        <v>0</v>
      </c>
      <c r="G2" s="4">
        <v>638</v>
      </c>
      <c r="H2" s="4">
        <v>0</v>
      </c>
      <c r="I2" s="4">
        <v>0</v>
      </c>
      <c r="J2" s="5">
        <v>99.95</v>
      </c>
      <c r="K2" s="4">
        <v>0</v>
      </c>
      <c r="L2" s="5">
        <v>0.05</v>
      </c>
      <c r="M2" s="4">
        <v>172091237128254</v>
      </c>
      <c r="N2" s="4">
        <v>172091237128254</v>
      </c>
    </row>
    <row r="3" spans="1:14">
      <c r="A3" t="s">
        <v>89</v>
      </c>
      <c r="B3" s="4">
        <v>486420</v>
      </c>
      <c r="C3" s="4">
        <v>486420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14249742083071</v>
      </c>
      <c r="N3" s="4">
        <v>14249742083071</v>
      </c>
    </row>
    <row r="4" spans="1:14">
      <c r="A4" t="s">
        <v>90</v>
      </c>
      <c r="B4" s="4">
        <v>218300</v>
      </c>
      <c r="C4" s="4">
        <v>218300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42298267553125</v>
      </c>
      <c r="N4" s="4">
        <v>42298267553125</v>
      </c>
    </row>
    <row r="5" spans="1:14">
      <c r="A5" t="s">
        <v>91</v>
      </c>
      <c r="B5" s="4">
        <v>182726</v>
      </c>
      <c r="C5" s="4">
        <v>182726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0</v>
      </c>
      <c r="N5" s="4">
        <v>0</v>
      </c>
    </row>
    <row r="6" spans="1:14">
      <c r="A6" t="s">
        <v>92</v>
      </c>
      <c r="B6" s="4">
        <v>86578</v>
      </c>
      <c r="C6" s="4">
        <v>86578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1515644398</v>
      </c>
      <c r="N6" s="4">
        <v>1515644398</v>
      </c>
    </row>
    <row r="7" spans="1:14">
      <c r="A7" t="s">
        <v>93</v>
      </c>
      <c r="B7" s="4">
        <v>68026</v>
      </c>
      <c r="C7" s="4">
        <v>68026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2056704125</v>
      </c>
      <c r="N7" s="4">
        <v>2056704125</v>
      </c>
    </row>
    <row r="8" spans="1:14">
      <c r="A8" t="s">
        <v>94</v>
      </c>
      <c r="B8" s="4">
        <v>42330</v>
      </c>
      <c r="C8" s="4">
        <v>42330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53345726721127</v>
      </c>
      <c r="N8" s="4">
        <v>53345726721127</v>
      </c>
    </row>
    <row r="9" spans="1:14">
      <c r="A9" t="s">
        <v>95</v>
      </c>
      <c r="B9" s="4">
        <v>7236</v>
      </c>
      <c r="C9" s="4">
        <v>7236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4">
        <v>57343192282442</v>
      </c>
      <c r="N9" s="4">
        <v>57551612970588</v>
      </c>
    </row>
    <row r="10" spans="1:14">
      <c r="A10" t="s">
        <v>96</v>
      </c>
      <c r="B10" s="4">
        <v>5875</v>
      </c>
      <c r="C10" s="4">
        <v>5875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4">
        <v>-39794268581739</v>
      </c>
      <c r="N10" s="4">
        <v>-39794268581739</v>
      </c>
    </row>
    <row r="11" spans="1:14">
      <c r="A11" t="s">
        <v>97</v>
      </c>
      <c r="B11" s="4">
        <v>4018</v>
      </c>
      <c r="C11" s="4">
        <v>4018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4">
        <v>2668791272745</v>
      </c>
      <c r="N11" s="4">
        <v>5733219055308</v>
      </c>
    </row>
    <row r="12" spans="1:14">
      <c r="A12" t="s">
        <v>98</v>
      </c>
      <c r="B12" s="4">
        <v>3945</v>
      </c>
      <c r="C12" s="4">
        <v>1651</v>
      </c>
      <c r="D12" s="4">
        <v>0</v>
      </c>
      <c r="E12" s="4">
        <v>0</v>
      </c>
      <c r="F12" s="4">
        <v>0</v>
      </c>
      <c r="G12" s="4">
        <v>2294</v>
      </c>
      <c r="H12" s="4">
        <v>0</v>
      </c>
      <c r="I12" s="4">
        <v>0</v>
      </c>
      <c r="J12" s="5">
        <v>41.85</v>
      </c>
      <c r="K12" s="4">
        <v>0</v>
      </c>
      <c r="L12" s="5">
        <v>58.15</v>
      </c>
      <c r="M12" s="4">
        <v>4746447955258</v>
      </c>
      <c r="N12" s="4">
        <v>4746447955258</v>
      </c>
    </row>
    <row r="13" spans="1:14">
      <c r="A13" t="s">
        <v>99</v>
      </c>
      <c r="B13" s="4">
        <v>3580</v>
      </c>
      <c r="C13" s="4">
        <v>2521</v>
      </c>
      <c r="D13" s="4">
        <v>0</v>
      </c>
      <c r="E13" s="4">
        <v>0</v>
      </c>
      <c r="F13" s="4">
        <v>0</v>
      </c>
      <c r="G13" s="4">
        <v>1059</v>
      </c>
      <c r="H13" s="4">
        <v>0</v>
      </c>
      <c r="I13" s="4">
        <v>0</v>
      </c>
      <c r="J13" s="5">
        <v>70.42</v>
      </c>
      <c r="K13" s="4">
        <v>0</v>
      </c>
      <c r="L13" s="5">
        <v>29.58</v>
      </c>
      <c r="M13" s="4">
        <v>2715290828102</v>
      </c>
      <c r="N13" s="4">
        <v>2715290828102</v>
      </c>
    </row>
    <row r="14" spans="1:14">
      <c r="A14" t="s">
        <v>100</v>
      </c>
      <c r="B14" s="4">
        <v>926</v>
      </c>
      <c r="C14" s="4">
        <v>797</v>
      </c>
      <c r="D14" s="4">
        <v>0</v>
      </c>
      <c r="E14" s="4">
        <v>0</v>
      </c>
      <c r="F14" s="4">
        <v>0</v>
      </c>
      <c r="G14" s="4">
        <v>129</v>
      </c>
      <c r="H14" s="4">
        <v>0</v>
      </c>
      <c r="I14" s="4">
        <v>0</v>
      </c>
      <c r="J14" s="5">
        <v>86.07</v>
      </c>
      <c r="K14" s="4">
        <v>0</v>
      </c>
      <c r="L14" s="5">
        <v>13.93</v>
      </c>
      <c r="M14" s="4">
        <v>963367022698</v>
      </c>
      <c r="N14" s="4">
        <v>963367022698</v>
      </c>
    </row>
    <row r="15" spans="1:14">
      <c r="A15" t="s">
        <v>101</v>
      </c>
      <c r="B15" s="4">
        <v>777</v>
      </c>
      <c r="C15" s="4">
        <v>777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265759704123</v>
      </c>
      <c r="N15" s="4">
        <v>265759704123</v>
      </c>
    </row>
    <row r="16" spans="1:14">
      <c r="A16" t="s">
        <v>102</v>
      </c>
      <c r="B16" s="4">
        <v>528</v>
      </c>
      <c r="C16" s="4">
        <v>528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381789501553</v>
      </c>
      <c r="N16" s="4">
        <v>381789501553</v>
      </c>
    </row>
    <row r="17" spans="1:14">
      <c r="A17" t="s">
        <v>103</v>
      </c>
      <c r="B17" s="4">
        <v>431</v>
      </c>
      <c r="C17" s="4">
        <v>431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458510528697</v>
      </c>
      <c r="N17" s="4">
        <v>740736451249</v>
      </c>
    </row>
    <row r="18" spans="1:14">
      <c r="A18" t="s">
        <v>104</v>
      </c>
      <c r="B18" s="4">
        <v>85</v>
      </c>
      <c r="C18" s="4">
        <v>85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12463591359343</v>
      </c>
      <c r="N18" s="4">
        <v>12463591359343</v>
      </c>
    </row>
    <row r="19" spans="1:14">
      <c r="A19" t="s">
        <v>105</v>
      </c>
      <c r="B19" s="4">
        <v>4</v>
      </c>
      <c r="C19" s="4">
        <v>4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0</v>
      </c>
      <c r="N19" s="4">
        <v>0</v>
      </c>
    </row>
    <row r="20" spans="1:14">
      <c r="A20" t="s">
        <v>106</v>
      </c>
      <c r="B20" s="4">
        <v>4</v>
      </c>
      <c r="C20" s="4">
        <v>4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7966</v>
      </c>
      <c r="N20" s="4">
        <v>7966</v>
      </c>
    </row>
    <row r="21" spans="1:14">
      <c r="A21" t="s">
        <v>107</v>
      </c>
      <c r="B21" s="4">
        <v>2</v>
      </c>
      <c r="C21" s="4">
        <v>2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248000</v>
      </c>
      <c r="N21" s="4">
        <v>248000</v>
      </c>
    </row>
    <row r="22" spans="1:14">
      <c r="A22" t="s">
        <v>108</v>
      </c>
      <c r="B22" s="4">
        <v>2</v>
      </c>
      <c r="C22" s="4">
        <v>2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49713916</v>
      </c>
      <c r="N22" s="4">
        <v>49713916</v>
      </c>
    </row>
    <row r="23" spans="1:14">
      <c r="A23" t="s">
        <v>109</v>
      </c>
      <c r="B23" s="4">
        <v>2</v>
      </c>
      <c r="C23" s="4">
        <v>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75494759</v>
      </c>
      <c r="N23" s="4">
        <v>75494759</v>
      </c>
    </row>
    <row r="24" spans="1:14">
      <c r="A24" t="s">
        <v>110</v>
      </c>
      <c r="B24" s="4">
        <v>1</v>
      </c>
      <c r="C24" s="4">
        <v>1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233090000</v>
      </c>
      <c r="N24" s="4">
        <v>233090000</v>
      </c>
    </row>
    <row r="25" spans="1:14">
      <c r="A25" t="s">
        <v>111</v>
      </c>
      <c r="B25" s="4">
        <v>1</v>
      </c>
      <c r="C25" s="4">
        <v>1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8375689</v>
      </c>
      <c r="N25" s="4">
        <v>8375689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5"/>
  <sheetViews>
    <sheetView zoomScaleNormal="100" zoomScaleSheetLayoutView="100" workbookViewId="0"/>
  </sheetViews>
  <sheetFormatPr defaultRowHeight="15"/>
  <cols>
    <col min="1" max="1" width="4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7" customWidth="1"/>
  </cols>
  <sheetData>
    <row r="1" spans="1:14">
      <c r="A1" s="2" t="s">
        <v>112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113</v>
      </c>
      <c r="B2" s="4">
        <v>2457936</v>
      </c>
      <c r="C2" s="4">
        <v>2453816</v>
      </c>
      <c r="D2" s="4">
        <v>0</v>
      </c>
      <c r="E2" s="4">
        <v>0</v>
      </c>
      <c r="F2" s="4">
        <v>0</v>
      </c>
      <c r="G2" s="4">
        <v>4120</v>
      </c>
      <c r="H2" s="4">
        <v>0</v>
      </c>
      <c r="I2" s="4">
        <v>0</v>
      </c>
      <c r="J2" s="5">
        <v>99.83</v>
      </c>
      <c r="K2" s="4">
        <v>0</v>
      </c>
      <c r="L2" s="5">
        <v>0.17</v>
      </c>
      <c r="M2" s="4">
        <v>324201250797322</v>
      </c>
      <c r="N2" s="4">
        <v>327756325190583</v>
      </c>
    </row>
    <row r="3" spans="1:14">
      <c r="A3" t="s">
        <v>114</v>
      </c>
      <c r="B3" s="4">
        <v>6</v>
      </c>
      <c r="C3" s="4">
        <v>6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255966</v>
      </c>
      <c r="N3" s="4">
        <v>255966</v>
      </c>
    </row>
    <row r="4" spans="1:14">
      <c r="A4" t="s">
        <v>115</v>
      </c>
      <c r="B4" s="4">
        <v>5</v>
      </c>
      <c r="C4" s="4">
        <v>5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133584364</v>
      </c>
      <c r="N4" s="4">
        <v>133584364</v>
      </c>
    </row>
    <row r="5" spans="1:14">
      <c r="A5" t="s">
        <v>116</v>
      </c>
      <c r="B5" s="4">
        <v>4</v>
      </c>
      <c r="C5" s="4">
        <v>4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0</v>
      </c>
      <c r="N5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9"/>
  <sheetViews>
    <sheetView zoomScaleNormal="100" zoomScaleSheetLayoutView="100" workbookViewId="0"/>
  </sheetViews>
  <sheetFormatPr defaultRowHeight="15"/>
  <cols>
    <col min="1" max="1" width="14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7" customWidth="1"/>
  </cols>
  <sheetData>
    <row r="1" spans="1:14">
      <c r="A1" s="2" t="s">
        <v>117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118</v>
      </c>
      <c r="B2" s="4">
        <v>2148226</v>
      </c>
      <c r="C2" s="4">
        <v>2147588</v>
      </c>
      <c r="D2" s="4">
        <v>0</v>
      </c>
      <c r="E2" s="4">
        <v>0</v>
      </c>
      <c r="F2" s="4">
        <v>0</v>
      </c>
      <c r="G2" s="4">
        <v>638</v>
      </c>
      <c r="H2" s="4">
        <v>0</v>
      </c>
      <c r="I2" s="4">
        <v>0</v>
      </c>
      <c r="J2" s="5">
        <v>99.97</v>
      </c>
      <c r="K2" s="4">
        <v>0</v>
      </c>
      <c r="L2" s="5">
        <v>0.03</v>
      </c>
      <c r="M2" s="4">
        <v>242357012849595</v>
      </c>
      <c r="N2" s="4">
        <v>245421440632158</v>
      </c>
    </row>
    <row r="3" spans="1:14">
      <c r="A3" t="s">
        <v>119</v>
      </c>
      <c r="B3" s="4">
        <v>226829</v>
      </c>
      <c r="C3" s="4">
        <v>226829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112829321427730</v>
      </c>
      <c r="N3" s="4">
        <v>113319968038428</v>
      </c>
    </row>
    <row r="4" spans="1:14">
      <c r="A4" t="s">
        <v>120</v>
      </c>
      <c r="B4" s="4">
        <v>81955</v>
      </c>
      <c r="C4" s="4">
        <v>78602</v>
      </c>
      <c r="D4" s="4">
        <v>0</v>
      </c>
      <c r="E4" s="4">
        <v>0</v>
      </c>
      <c r="F4" s="4">
        <v>0</v>
      </c>
      <c r="G4" s="4">
        <v>3353</v>
      </c>
      <c r="H4" s="4">
        <v>0</v>
      </c>
      <c r="I4" s="4">
        <v>0</v>
      </c>
      <c r="J4" s="5">
        <v>95.91</v>
      </c>
      <c r="K4" s="4">
        <v>0</v>
      </c>
      <c r="L4" s="5">
        <v>4.09</v>
      </c>
      <c r="M4" s="4">
        <v>-31948450502701</v>
      </c>
      <c r="N4" s="4">
        <v>-31948450502701</v>
      </c>
    </row>
    <row r="5" spans="1:14">
      <c r="A5" t="s">
        <v>121</v>
      </c>
      <c r="B5" s="4">
        <v>926</v>
      </c>
      <c r="C5" s="4">
        <v>797</v>
      </c>
      <c r="D5" s="4">
        <v>0</v>
      </c>
      <c r="E5" s="4">
        <v>0</v>
      </c>
      <c r="F5" s="4">
        <v>0</v>
      </c>
      <c r="G5" s="4">
        <v>129</v>
      </c>
      <c r="H5" s="4">
        <v>0</v>
      </c>
      <c r="I5" s="4">
        <v>0</v>
      </c>
      <c r="J5" s="5">
        <v>86.07</v>
      </c>
      <c r="K5" s="4">
        <v>0</v>
      </c>
      <c r="L5" s="5">
        <v>13.93</v>
      </c>
      <c r="M5" s="4">
        <v>963367022698</v>
      </c>
      <c r="N5" s="4">
        <v>963367022698</v>
      </c>
    </row>
    <row r="6" spans="1:14">
      <c r="A6" t="s">
        <v>122</v>
      </c>
      <c r="B6" s="4">
        <v>5</v>
      </c>
      <c r="C6" s="4">
        <v>5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133584364</v>
      </c>
      <c r="N6" s="4">
        <v>133584364</v>
      </c>
    </row>
    <row r="7" spans="1:14">
      <c r="A7" t="s">
        <v>105</v>
      </c>
      <c r="B7" s="4">
        <v>4</v>
      </c>
      <c r="C7" s="4">
        <v>4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0</v>
      </c>
      <c r="N7" s="4">
        <v>0</v>
      </c>
    </row>
    <row r="8" spans="1:14">
      <c r="A8" t="s">
        <v>106</v>
      </c>
      <c r="B8" s="4">
        <v>4</v>
      </c>
      <c r="C8" s="4">
        <v>4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7966</v>
      </c>
      <c r="N8" s="4">
        <v>7966</v>
      </c>
    </row>
    <row r="9" spans="1:14">
      <c r="A9" t="s">
        <v>107</v>
      </c>
      <c r="B9" s="4">
        <v>2</v>
      </c>
      <c r="C9" s="4">
        <v>2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4">
        <v>248000</v>
      </c>
      <c r="N9" s="4">
        <v>248000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5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7" customWidth="1"/>
  </cols>
  <sheetData>
    <row r="1" spans="1:14">
      <c r="A1" s="2" t="s">
        <v>123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88</v>
      </c>
      <c r="B2" s="4">
        <v>1346154</v>
      </c>
      <c r="C2" s="4">
        <v>1345516</v>
      </c>
      <c r="D2" s="4">
        <v>0</v>
      </c>
      <c r="E2" s="4">
        <v>0</v>
      </c>
      <c r="F2" s="4">
        <v>0</v>
      </c>
      <c r="G2" s="4">
        <v>638</v>
      </c>
      <c r="H2" s="4">
        <v>0</v>
      </c>
      <c r="I2" s="4">
        <v>0</v>
      </c>
      <c r="J2" s="5">
        <v>99.95</v>
      </c>
      <c r="K2" s="4">
        <v>0</v>
      </c>
      <c r="L2" s="5">
        <v>0.05</v>
      </c>
      <c r="M2" s="4">
        <v>172091237128254</v>
      </c>
      <c r="N2" s="4">
        <v>172091237128254</v>
      </c>
    </row>
    <row r="3" spans="1:14">
      <c r="A3" t="s">
        <v>89</v>
      </c>
      <c r="B3" s="4">
        <v>486420</v>
      </c>
      <c r="C3" s="4">
        <v>486420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14249742083071</v>
      </c>
      <c r="N3" s="4">
        <v>14249742083071</v>
      </c>
    </row>
    <row r="4" spans="1:14">
      <c r="A4" t="s">
        <v>90</v>
      </c>
      <c r="B4" s="4">
        <v>218300</v>
      </c>
      <c r="C4" s="4">
        <v>218300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42298267553125</v>
      </c>
      <c r="N4" s="4">
        <v>42298267553125</v>
      </c>
    </row>
    <row r="5" spans="1:14">
      <c r="A5" t="s">
        <v>91</v>
      </c>
      <c r="B5" s="4">
        <v>182726</v>
      </c>
      <c r="C5" s="4">
        <v>182726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0</v>
      </c>
      <c r="N5" s="4">
        <v>0</v>
      </c>
    </row>
    <row r="6" spans="1:14">
      <c r="A6" t="s">
        <v>92</v>
      </c>
      <c r="B6" s="4">
        <v>86578</v>
      </c>
      <c r="C6" s="4">
        <v>86578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1515644398</v>
      </c>
      <c r="N6" s="4">
        <v>1515644398</v>
      </c>
    </row>
    <row r="7" spans="1:14">
      <c r="A7" t="s">
        <v>93</v>
      </c>
      <c r="B7" s="4">
        <v>68026</v>
      </c>
      <c r="C7" s="4">
        <v>68026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2056704125</v>
      </c>
      <c r="N7" s="4">
        <v>2056704125</v>
      </c>
    </row>
    <row r="8" spans="1:14">
      <c r="A8" t="s">
        <v>94</v>
      </c>
      <c r="B8" s="4">
        <v>42330</v>
      </c>
      <c r="C8" s="4">
        <v>42330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53345726721127</v>
      </c>
      <c r="N8" s="4">
        <v>53345726721127</v>
      </c>
    </row>
    <row r="9" spans="1:14">
      <c r="A9" t="s">
        <v>95</v>
      </c>
      <c r="B9" s="4">
        <v>7236</v>
      </c>
      <c r="C9" s="4">
        <v>7236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4">
        <v>57343192282442</v>
      </c>
      <c r="N9" s="4">
        <v>57551612970588</v>
      </c>
    </row>
    <row r="10" spans="1:14">
      <c r="A10" t="s">
        <v>96</v>
      </c>
      <c r="B10" s="4">
        <v>5875</v>
      </c>
      <c r="C10" s="4">
        <v>5875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4">
        <v>-39794268581739</v>
      </c>
      <c r="N10" s="4">
        <v>-39794268581739</v>
      </c>
    </row>
    <row r="11" spans="1:14">
      <c r="A11" t="s">
        <v>97</v>
      </c>
      <c r="B11" s="4">
        <v>4018</v>
      </c>
      <c r="C11" s="4">
        <v>4018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4">
        <v>2668791272745</v>
      </c>
      <c r="N11" s="4">
        <v>5733219055308</v>
      </c>
    </row>
    <row r="12" spans="1:14">
      <c r="A12" t="s">
        <v>98</v>
      </c>
      <c r="B12" s="4">
        <v>3945</v>
      </c>
      <c r="C12" s="4">
        <v>1651</v>
      </c>
      <c r="D12" s="4">
        <v>0</v>
      </c>
      <c r="E12" s="4">
        <v>0</v>
      </c>
      <c r="F12" s="4">
        <v>0</v>
      </c>
      <c r="G12" s="4">
        <v>2294</v>
      </c>
      <c r="H12" s="4">
        <v>0</v>
      </c>
      <c r="I12" s="4">
        <v>0</v>
      </c>
      <c r="J12" s="5">
        <v>41.85</v>
      </c>
      <c r="K12" s="4">
        <v>0</v>
      </c>
      <c r="L12" s="5">
        <v>58.15</v>
      </c>
      <c r="M12" s="4">
        <v>4746447955258</v>
      </c>
      <c r="N12" s="4">
        <v>4746447955258</v>
      </c>
    </row>
    <row r="13" spans="1:14">
      <c r="A13" t="s">
        <v>99</v>
      </c>
      <c r="B13" s="4">
        <v>3580</v>
      </c>
      <c r="C13" s="4">
        <v>2521</v>
      </c>
      <c r="D13" s="4">
        <v>0</v>
      </c>
      <c r="E13" s="4">
        <v>0</v>
      </c>
      <c r="F13" s="4">
        <v>0</v>
      </c>
      <c r="G13" s="4">
        <v>1059</v>
      </c>
      <c r="H13" s="4">
        <v>0</v>
      </c>
      <c r="I13" s="4">
        <v>0</v>
      </c>
      <c r="J13" s="5">
        <v>70.42</v>
      </c>
      <c r="K13" s="4">
        <v>0</v>
      </c>
      <c r="L13" s="5">
        <v>29.58</v>
      </c>
      <c r="M13" s="4">
        <v>2715290828102</v>
      </c>
      <c r="N13" s="4">
        <v>2715290828102</v>
      </c>
    </row>
    <row r="14" spans="1:14">
      <c r="A14" t="s">
        <v>100</v>
      </c>
      <c r="B14" s="4">
        <v>926</v>
      </c>
      <c r="C14" s="4">
        <v>797</v>
      </c>
      <c r="D14" s="4">
        <v>0</v>
      </c>
      <c r="E14" s="4">
        <v>0</v>
      </c>
      <c r="F14" s="4">
        <v>0</v>
      </c>
      <c r="G14" s="4">
        <v>129</v>
      </c>
      <c r="H14" s="4">
        <v>0</v>
      </c>
      <c r="I14" s="4">
        <v>0</v>
      </c>
      <c r="J14" s="5">
        <v>86.07</v>
      </c>
      <c r="K14" s="4">
        <v>0</v>
      </c>
      <c r="L14" s="5">
        <v>13.93</v>
      </c>
      <c r="M14" s="4">
        <v>963367022698</v>
      </c>
      <c r="N14" s="4">
        <v>963367022698</v>
      </c>
    </row>
    <row r="15" spans="1:14">
      <c r="A15" t="s">
        <v>101</v>
      </c>
      <c r="B15" s="4">
        <v>777</v>
      </c>
      <c r="C15" s="4">
        <v>777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265759704123</v>
      </c>
      <c r="N15" s="4">
        <v>265759704123</v>
      </c>
    </row>
    <row r="16" spans="1:14">
      <c r="A16" t="s">
        <v>102</v>
      </c>
      <c r="B16" s="4">
        <v>528</v>
      </c>
      <c r="C16" s="4">
        <v>528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381789501553</v>
      </c>
      <c r="N16" s="4">
        <v>381789501553</v>
      </c>
    </row>
    <row r="17" spans="1:14">
      <c r="A17" t="s">
        <v>103</v>
      </c>
      <c r="B17" s="4">
        <v>431</v>
      </c>
      <c r="C17" s="4">
        <v>431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458510528697</v>
      </c>
      <c r="N17" s="4">
        <v>740736451249</v>
      </c>
    </row>
    <row r="18" spans="1:14">
      <c r="A18" t="s">
        <v>104</v>
      </c>
      <c r="B18" s="4">
        <v>85</v>
      </c>
      <c r="C18" s="4">
        <v>85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12463591359343</v>
      </c>
      <c r="N18" s="4">
        <v>12463591359343</v>
      </c>
    </row>
    <row r="19" spans="1:14">
      <c r="A19" t="s">
        <v>105</v>
      </c>
      <c r="B19" s="4">
        <v>4</v>
      </c>
      <c r="C19" s="4">
        <v>4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0</v>
      </c>
      <c r="N19" s="4">
        <v>0</v>
      </c>
    </row>
    <row r="20" spans="1:14">
      <c r="A20" t="s">
        <v>106</v>
      </c>
      <c r="B20" s="4">
        <v>4</v>
      </c>
      <c r="C20" s="4">
        <v>4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7966</v>
      </c>
      <c r="N20" s="4">
        <v>7966</v>
      </c>
    </row>
    <row r="21" spans="1:14">
      <c r="A21" t="s">
        <v>107</v>
      </c>
      <c r="B21" s="4">
        <v>2</v>
      </c>
      <c r="C21" s="4">
        <v>2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248000</v>
      </c>
      <c r="N21" s="4">
        <v>248000</v>
      </c>
    </row>
    <row r="22" spans="1:14">
      <c r="A22" t="s">
        <v>108</v>
      </c>
      <c r="B22" s="4">
        <v>2</v>
      </c>
      <c r="C22" s="4">
        <v>2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49713916</v>
      </c>
      <c r="N22" s="4">
        <v>49713916</v>
      </c>
    </row>
    <row r="23" spans="1:14">
      <c r="A23" t="s">
        <v>109</v>
      </c>
      <c r="B23" s="4">
        <v>2</v>
      </c>
      <c r="C23" s="4">
        <v>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75494759</v>
      </c>
      <c r="N23" s="4">
        <v>75494759</v>
      </c>
    </row>
    <row r="24" spans="1:14">
      <c r="A24" t="s">
        <v>110</v>
      </c>
      <c r="B24" s="4">
        <v>1</v>
      </c>
      <c r="C24" s="4">
        <v>1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233090000</v>
      </c>
      <c r="N24" s="4">
        <v>233090000</v>
      </c>
    </row>
    <row r="25" spans="1:14">
      <c r="A25" t="s">
        <v>111</v>
      </c>
      <c r="B25" s="4">
        <v>1</v>
      </c>
      <c r="C25" s="4">
        <v>1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8375689</v>
      </c>
      <c r="N25" s="4">
        <v>8375689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51"/>
  <sheetViews>
    <sheetView zoomScaleNormal="100" zoomScaleSheetLayoutView="100" workbookViewId="0"/>
  </sheetViews>
  <sheetFormatPr defaultRowHeight="15"/>
  <cols>
    <col min="1" max="1" width="15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7" customWidth="1"/>
  </cols>
  <sheetData>
    <row r="1" spans="1:14">
      <c r="A1" s="2" t="s">
        <v>124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125</v>
      </c>
      <c r="B2" s="4">
        <v>494703</v>
      </c>
      <c r="C2" s="4">
        <v>494703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100</v>
      </c>
      <c r="K2" s="4">
        <v>0</v>
      </c>
      <c r="L2" s="4">
        <v>0</v>
      </c>
      <c r="M2" s="4">
        <v>8419064723686</v>
      </c>
      <c r="N2" s="4">
        <v>8419064723686</v>
      </c>
    </row>
    <row r="3" spans="1:14">
      <c r="A3" t="s">
        <v>126</v>
      </c>
      <c r="B3" s="4">
        <v>365763</v>
      </c>
      <c r="C3" s="4">
        <v>365763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66121507160135</v>
      </c>
      <c r="N3" s="4">
        <v>67185524993327</v>
      </c>
    </row>
    <row r="4" spans="1:14">
      <c r="A4" t="s">
        <v>127</v>
      </c>
      <c r="B4" s="4">
        <v>294170</v>
      </c>
      <c r="C4" s="4">
        <v>294170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45064899359069</v>
      </c>
      <c r="N4" s="4">
        <v>47057566675597</v>
      </c>
    </row>
    <row r="5" spans="1:14">
      <c r="A5" t="s">
        <v>128</v>
      </c>
      <c r="B5" s="4">
        <v>229579</v>
      </c>
      <c r="C5" s="4">
        <v>229579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8250233186779</v>
      </c>
      <c r="N5" s="4">
        <v>8250233186779</v>
      </c>
    </row>
    <row r="6" spans="1:14">
      <c r="A6" t="s">
        <v>129</v>
      </c>
      <c r="B6" s="4">
        <v>182726</v>
      </c>
      <c r="C6" s="4">
        <v>182726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0</v>
      </c>
      <c r="N6" s="4">
        <v>0</v>
      </c>
    </row>
    <row r="7" spans="1:14">
      <c r="A7" t="s">
        <v>130</v>
      </c>
      <c r="B7" s="4">
        <v>165079</v>
      </c>
      <c r="C7" s="4">
        <v>165079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3041700000</v>
      </c>
      <c r="N7" s="4">
        <v>3041700000</v>
      </c>
    </row>
    <row r="8" spans="1:14">
      <c r="A8" t="s">
        <v>131</v>
      </c>
      <c r="B8" s="4">
        <v>157759</v>
      </c>
      <c r="C8" s="4">
        <v>157759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7663528154550</v>
      </c>
      <c r="N8" s="4">
        <v>7663632959902</v>
      </c>
    </row>
    <row r="9" spans="1:14">
      <c r="A9" t="s">
        <v>132</v>
      </c>
      <c r="B9" s="4">
        <v>112928</v>
      </c>
      <c r="C9" s="4">
        <v>112928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4">
        <v>552818081680</v>
      </c>
      <c r="N9" s="4">
        <v>552927886462</v>
      </c>
    </row>
    <row r="10" spans="1:14">
      <c r="A10" t="s">
        <v>133</v>
      </c>
      <c r="B10" s="4">
        <v>43336</v>
      </c>
      <c r="C10" s="4">
        <v>43336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4">
        <v>2130281645</v>
      </c>
      <c r="N10" s="4">
        <v>2130281645</v>
      </c>
    </row>
    <row r="11" spans="1:14">
      <c r="A11" t="s">
        <v>134</v>
      </c>
      <c r="B11" s="4">
        <v>41906</v>
      </c>
      <c r="C11" s="4">
        <v>41906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4">
        <v>50022589742</v>
      </c>
      <c r="N11" s="4">
        <v>50022589742</v>
      </c>
    </row>
    <row r="12" spans="1:14">
      <c r="A12" t="s">
        <v>135</v>
      </c>
      <c r="B12" s="4">
        <v>38574</v>
      </c>
      <c r="C12" s="4">
        <v>38574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4">
        <v>7533054240765</v>
      </c>
      <c r="N12" s="4">
        <v>7533054240765</v>
      </c>
    </row>
    <row r="13" spans="1:14">
      <c r="A13" t="s">
        <v>136</v>
      </c>
      <c r="B13" s="4">
        <v>36482</v>
      </c>
      <c r="C13" s="4">
        <v>36482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4">
        <v>235390900000</v>
      </c>
      <c r="N13" s="4">
        <v>235390900000</v>
      </c>
    </row>
    <row r="14" spans="1:14">
      <c r="A14" t="s">
        <v>137</v>
      </c>
      <c r="B14" s="4">
        <v>26851</v>
      </c>
      <c r="C14" s="4">
        <v>26851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2248860582155</v>
      </c>
      <c r="N14" s="4">
        <v>2255296423851</v>
      </c>
    </row>
    <row r="15" spans="1:14">
      <c r="A15" t="s">
        <v>138</v>
      </c>
      <c r="B15" s="4">
        <v>25146</v>
      </c>
      <c r="C15" s="4">
        <v>25146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453100500</v>
      </c>
      <c r="N15" s="4">
        <v>453100500</v>
      </c>
    </row>
    <row r="16" spans="1:14">
      <c r="A16" t="s">
        <v>139</v>
      </c>
      <c r="B16" s="4">
        <v>24690</v>
      </c>
      <c r="C16" s="4">
        <v>24690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-73577520</v>
      </c>
      <c r="N16" s="4">
        <v>-73577520</v>
      </c>
    </row>
    <row r="17" spans="1:14">
      <c r="A17" t="s">
        <v>140</v>
      </c>
      <c r="B17" s="4">
        <v>23623</v>
      </c>
      <c r="C17" s="4">
        <v>23623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554137000</v>
      </c>
      <c r="N17" s="4">
        <v>554137000</v>
      </c>
    </row>
    <row r="18" spans="1:14">
      <c r="A18" t="s">
        <v>141</v>
      </c>
      <c r="B18" s="4">
        <v>18178</v>
      </c>
      <c r="C18" s="4">
        <v>18178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231045000</v>
      </c>
      <c r="N18" s="4">
        <v>231045000</v>
      </c>
    </row>
    <row r="19" spans="1:14">
      <c r="A19" t="s">
        <v>142</v>
      </c>
      <c r="B19" s="4">
        <v>15205</v>
      </c>
      <c r="C19" s="4">
        <v>15205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226691500</v>
      </c>
      <c r="N19" s="4">
        <v>226691500</v>
      </c>
    </row>
    <row r="20" spans="1:14">
      <c r="A20" t="s">
        <v>143</v>
      </c>
      <c r="B20" s="4">
        <v>15102</v>
      </c>
      <c r="C20" s="4">
        <v>15102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22940439472</v>
      </c>
      <c r="N20" s="4">
        <v>22940439472</v>
      </c>
    </row>
    <row r="21" spans="1:14">
      <c r="A21" t="s">
        <v>144</v>
      </c>
      <c r="B21" s="4">
        <v>13639</v>
      </c>
      <c r="C21" s="4">
        <v>13639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926489349305</v>
      </c>
      <c r="N21" s="4">
        <v>926489349305</v>
      </c>
    </row>
    <row r="22" spans="1:14">
      <c r="A22" t="s">
        <v>145</v>
      </c>
      <c r="B22" s="4">
        <v>11371</v>
      </c>
      <c r="C22" s="4">
        <v>11371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50180000</v>
      </c>
      <c r="N22" s="4">
        <v>50180000</v>
      </c>
    </row>
    <row r="23" spans="1:14">
      <c r="A23" t="s">
        <v>146</v>
      </c>
      <c r="B23" s="4">
        <v>10882</v>
      </c>
      <c r="C23" s="4">
        <v>10882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13628473213</v>
      </c>
      <c r="N23" s="4">
        <v>13628473213</v>
      </c>
    </row>
    <row r="24" spans="1:14">
      <c r="A24" t="s">
        <v>147</v>
      </c>
      <c r="B24" s="4">
        <v>9521</v>
      </c>
      <c r="C24" s="4">
        <v>9521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66252000</v>
      </c>
      <c r="N24" s="4">
        <v>66252000</v>
      </c>
    </row>
    <row r="25" spans="1:14">
      <c r="A25" t="s">
        <v>148</v>
      </c>
      <c r="B25" s="4">
        <v>5875</v>
      </c>
      <c r="C25" s="4">
        <v>5875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-39794268581739</v>
      </c>
      <c r="N25" s="4">
        <v>-39794268581739</v>
      </c>
    </row>
    <row r="26" spans="1:14">
      <c r="A26" t="s">
        <v>149</v>
      </c>
      <c r="B26" s="4">
        <v>5506</v>
      </c>
      <c r="C26" s="4">
        <v>5506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4">
        <v>7402451807</v>
      </c>
      <c r="N26" s="4">
        <v>7403841656</v>
      </c>
    </row>
    <row r="27" spans="1:14">
      <c r="A27" t="s">
        <v>150</v>
      </c>
      <c r="B27" s="4">
        <v>5408</v>
      </c>
      <c r="C27" s="4">
        <v>5408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4">
        <v>6052430022370</v>
      </c>
      <c r="N27" s="4">
        <v>6169526274364</v>
      </c>
    </row>
    <row r="28" spans="1:14">
      <c r="A28" t="s">
        <v>151</v>
      </c>
      <c r="B28" s="4">
        <v>5348</v>
      </c>
      <c r="C28" s="4">
        <v>5348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4">
        <v>33000367262</v>
      </c>
      <c r="N28" s="4">
        <v>33000367262</v>
      </c>
    </row>
    <row r="29" spans="1:14">
      <c r="A29" t="s">
        <v>152</v>
      </c>
      <c r="B29" s="4">
        <v>5098</v>
      </c>
      <c r="C29" s="4">
        <v>5098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4">
        <v>3039332809588</v>
      </c>
      <c r="N29" s="4">
        <v>3103344797753</v>
      </c>
    </row>
    <row r="30" spans="1:14">
      <c r="A30" t="s">
        <v>153</v>
      </c>
      <c r="B30" s="4">
        <v>4872</v>
      </c>
      <c r="C30" s="4">
        <v>4872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100</v>
      </c>
      <c r="K30" s="4">
        <v>0</v>
      </c>
      <c r="L30" s="4">
        <v>0</v>
      </c>
      <c r="M30" s="4">
        <v>4609551378479</v>
      </c>
      <c r="N30" s="4">
        <v>4609554336225</v>
      </c>
    </row>
    <row r="31" spans="1:14">
      <c r="A31" t="s">
        <v>154</v>
      </c>
      <c r="B31" s="4">
        <v>4381</v>
      </c>
      <c r="C31" s="4">
        <v>4381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100</v>
      </c>
      <c r="K31" s="4">
        <v>0</v>
      </c>
      <c r="L31" s="4">
        <v>0</v>
      </c>
      <c r="M31" s="4">
        <v>7348236611</v>
      </c>
      <c r="N31" s="4">
        <v>7348236611</v>
      </c>
    </row>
    <row r="32" spans="1:14">
      <c r="A32" t="s">
        <v>155</v>
      </c>
      <c r="B32" s="4">
        <v>4373</v>
      </c>
      <c r="C32" s="4">
        <v>4373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100</v>
      </c>
      <c r="K32" s="4">
        <v>0</v>
      </c>
      <c r="L32" s="4">
        <v>0</v>
      </c>
      <c r="M32" s="4">
        <v>6132954036992</v>
      </c>
      <c r="N32" s="4">
        <v>6223399565657</v>
      </c>
    </row>
    <row r="33" spans="1:14">
      <c r="A33" t="s">
        <v>156</v>
      </c>
      <c r="B33" s="4">
        <v>4324</v>
      </c>
      <c r="C33" s="4">
        <v>4324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100</v>
      </c>
      <c r="K33" s="4">
        <v>0</v>
      </c>
      <c r="L33" s="4">
        <v>0</v>
      </c>
      <c r="M33" s="4">
        <v>718899712951</v>
      </c>
      <c r="N33" s="4">
        <v>718943755571</v>
      </c>
    </row>
    <row r="34" spans="1:14">
      <c r="A34" t="s">
        <v>157</v>
      </c>
      <c r="B34" s="4">
        <v>3848</v>
      </c>
      <c r="C34" s="4">
        <v>3848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100</v>
      </c>
      <c r="K34" s="4">
        <v>0</v>
      </c>
      <c r="L34" s="4">
        <v>0</v>
      </c>
      <c r="M34" s="4">
        <v>21460000</v>
      </c>
      <c r="N34" s="4">
        <v>21460000</v>
      </c>
    </row>
    <row r="35" spans="1:14">
      <c r="A35" t="s">
        <v>158</v>
      </c>
      <c r="B35" s="4">
        <v>3455</v>
      </c>
      <c r="C35" s="4">
        <v>3455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100</v>
      </c>
      <c r="K35" s="4">
        <v>0</v>
      </c>
      <c r="L35" s="4">
        <v>0</v>
      </c>
      <c r="M35" s="4">
        <v>21068815671165</v>
      </c>
      <c r="N35" s="4">
        <v>21068815671165</v>
      </c>
    </row>
    <row r="36" spans="1:14">
      <c r="A36" t="s">
        <v>159</v>
      </c>
      <c r="B36" s="4">
        <v>3369</v>
      </c>
      <c r="C36" s="4">
        <v>3369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100</v>
      </c>
      <c r="K36" s="4">
        <v>0</v>
      </c>
      <c r="L36" s="4">
        <v>0</v>
      </c>
      <c r="M36" s="4">
        <v>292206919970</v>
      </c>
      <c r="N36" s="4">
        <v>292461654136</v>
      </c>
    </row>
    <row r="37" spans="1:14">
      <c r="A37" t="s">
        <v>160</v>
      </c>
      <c r="B37" s="4">
        <v>3112</v>
      </c>
      <c r="C37" s="4">
        <v>3112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100</v>
      </c>
      <c r="K37" s="4">
        <v>0</v>
      </c>
      <c r="L37" s="4">
        <v>0</v>
      </c>
      <c r="M37" s="4">
        <v>16156000</v>
      </c>
      <c r="N37" s="4">
        <v>16156000</v>
      </c>
    </row>
    <row r="38" spans="1:14">
      <c r="A38" t="s">
        <v>161</v>
      </c>
      <c r="B38" s="4">
        <v>2850</v>
      </c>
      <c r="C38" s="4">
        <v>2850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100</v>
      </c>
      <c r="K38" s="4">
        <v>0</v>
      </c>
      <c r="L38" s="4">
        <v>0</v>
      </c>
      <c r="M38" s="4">
        <v>1932531060723</v>
      </c>
      <c r="N38" s="4">
        <v>1932531060723</v>
      </c>
    </row>
    <row r="39" spans="1:14">
      <c r="A39" t="s">
        <v>162</v>
      </c>
      <c r="B39" s="4">
        <v>2477</v>
      </c>
      <c r="C39" s="4">
        <v>2477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100</v>
      </c>
      <c r="K39" s="4">
        <v>0</v>
      </c>
      <c r="L39" s="4">
        <v>0</v>
      </c>
      <c r="M39" s="4">
        <v>203015822</v>
      </c>
      <c r="N39" s="4">
        <v>203015822</v>
      </c>
    </row>
    <row r="40" spans="1:14">
      <c r="A40" t="s">
        <v>163</v>
      </c>
      <c r="B40" s="4">
        <v>2023</v>
      </c>
      <c r="C40" s="4">
        <v>2023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100</v>
      </c>
      <c r="K40" s="4">
        <v>0</v>
      </c>
      <c r="L40" s="4">
        <v>0</v>
      </c>
      <c r="M40" s="4">
        <v>12253149808793</v>
      </c>
      <c r="N40" s="4">
        <v>12253168229103</v>
      </c>
    </row>
    <row r="41" spans="1:14">
      <c r="A41" t="s">
        <v>164</v>
      </c>
      <c r="B41" s="4">
        <v>1826</v>
      </c>
      <c r="C41" s="4">
        <v>1826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100</v>
      </c>
      <c r="K41" s="4">
        <v>0</v>
      </c>
      <c r="L41" s="4">
        <v>0</v>
      </c>
      <c r="M41" s="4">
        <v>2035706352801</v>
      </c>
      <c r="N41" s="4">
        <v>2035706352801</v>
      </c>
    </row>
    <row r="42" spans="1:14">
      <c r="A42" t="s">
        <v>165</v>
      </c>
      <c r="B42" s="4">
        <v>1555</v>
      </c>
      <c r="C42" s="4">
        <v>1555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100</v>
      </c>
      <c r="K42" s="4">
        <v>0</v>
      </c>
      <c r="L42" s="4">
        <v>0</v>
      </c>
      <c r="M42" s="4">
        <v>18002175678205</v>
      </c>
      <c r="N42" s="4">
        <v>18002175678205</v>
      </c>
    </row>
    <row r="43" spans="1:14">
      <c r="A43" t="s">
        <v>166</v>
      </c>
      <c r="B43" s="4">
        <v>1522</v>
      </c>
      <c r="C43" s="4">
        <v>1522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100</v>
      </c>
      <c r="K43" s="4">
        <v>0</v>
      </c>
      <c r="L43" s="4">
        <v>0</v>
      </c>
      <c r="M43" s="4">
        <v>27160210106030</v>
      </c>
      <c r="N43" s="4">
        <v>27160210106030</v>
      </c>
    </row>
    <row r="44" spans="1:14">
      <c r="A44" t="s">
        <v>167</v>
      </c>
      <c r="B44" s="4">
        <v>1492</v>
      </c>
      <c r="C44" s="4">
        <v>1492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100</v>
      </c>
      <c r="K44" s="4">
        <v>0</v>
      </c>
      <c r="L44" s="4">
        <v>0</v>
      </c>
      <c r="M44" s="4">
        <v>5382500</v>
      </c>
      <c r="N44" s="4">
        <v>5382500</v>
      </c>
    </row>
    <row r="45" spans="1:14">
      <c r="A45" t="s">
        <v>168</v>
      </c>
      <c r="B45" s="4">
        <v>1339</v>
      </c>
      <c r="C45" s="4">
        <v>1339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100</v>
      </c>
      <c r="K45" s="4">
        <v>0</v>
      </c>
      <c r="L45" s="4">
        <v>0</v>
      </c>
      <c r="M45" s="4">
        <v>2873181</v>
      </c>
      <c r="N45" s="4">
        <v>2873181</v>
      </c>
    </row>
    <row r="46" spans="1:14">
      <c r="A46" t="s">
        <v>169</v>
      </c>
      <c r="B46" s="4">
        <v>1307</v>
      </c>
      <c r="C46" s="4">
        <v>1307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100</v>
      </c>
      <c r="K46" s="4">
        <v>0</v>
      </c>
      <c r="L46" s="4">
        <v>0</v>
      </c>
      <c r="M46" s="4">
        <v>2801180118633</v>
      </c>
      <c r="N46" s="4">
        <v>2945561051075</v>
      </c>
    </row>
    <row r="47" spans="1:14">
      <c r="A47" t="s">
        <v>170</v>
      </c>
      <c r="B47" s="4">
        <v>1174</v>
      </c>
      <c r="C47" s="4">
        <v>1174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100</v>
      </c>
      <c r="K47" s="4">
        <v>0</v>
      </c>
      <c r="L47" s="4">
        <v>0</v>
      </c>
      <c r="M47" s="4">
        <v>5320000</v>
      </c>
      <c r="N47" s="4">
        <v>5320000</v>
      </c>
    </row>
    <row r="48" spans="1:14">
      <c r="A48" t="s">
        <v>171</v>
      </c>
      <c r="B48" s="4">
        <v>1096</v>
      </c>
      <c r="C48" s="4">
        <v>1096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100</v>
      </c>
      <c r="K48" s="4">
        <v>0</v>
      </c>
      <c r="L48" s="4">
        <v>0</v>
      </c>
      <c r="M48" s="4">
        <v>17976366057213</v>
      </c>
      <c r="N48" s="4">
        <v>17976366057213</v>
      </c>
    </row>
    <row r="49" spans="1:14">
      <c r="A49" t="s">
        <v>172</v>
      </c>
      <c r="B49" s="4">
        <v>1071</v>
      </c>
      <c r="C49" s="4">
        <v>1071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100</v>
      </c>
      <c r="K49" s="4">
        <v>0</v>
      </c>
      <c r="L49" s="4">
        <v>0</v>
      </c>
      <c r="M49" s="4">
        <v>4916000</v>
      </c>
      <c r="N49" s="4">
        <v>4916000</v>
      </c>
    </row>
    <row r="50" spans="1:14">
      <c r="A50" t="s">
        <v>173</v>
      </c>
      <c r="B50" s="4">
        <v>969</v>
      </c>
      <c r="C50" s="4">
        <v>969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100</v>
      </c>
      <c r="K50" s="4">
        <v>0</v>
      </c>
      <c r="L50" s="4">
        <v>0</v>
      </c>
      <c r="M50" s="4">
        <v>28388398</v>
      </c>
      <c r="N50" s="4">
        <v>28388398</v>
      </c>
    </row>
    <row r="51" spans="1:14">
      <c r="A51" t="s">
        <v>174</v>
      </c>
      <c r="B51" s="4">
        <v>790</v>
      </c>
      <c r="C51" s="4">
        <v>790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100</v>
      </c>
      <c r="K51" s="4">
        <v>0</v>
      </c>
      <c r="L51" s="4">
        <v>0</v>
      </c>
      <c r="M51" s="4">
        <v>91379108230</v>
      </c>
      <c r="N51" s="4">
        <v>91379108230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5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4" width="13" customWidth="1"/>
    <col min="5" max="6" width="10" customWidth="1"/>
    <col min="7" max="7" width="23" customWidth="1"/>
    <col min="8" max="8" width="11" customWidth="1"/>
  </cols>
  <sheetData>
    <row r="1" spans="1:8">
      <c r="A1" s="2" t="s">
        <v>80</v>
      </c>
      <c r="B1" s="2" t="s">
        <v>8</v>
      </c>
      <c r="C1" s="2" t="s">
        <v>10</v>
      </c>
      <c r="D1" s="2" t="s">
        <v>12</v>
      </c>
      <c r="E1" s="2" t="s">
        <v>14</v>
      </c>
      <c r="F1" s="2" t="s">
        <v>16</v>
      </c>
      <c r="G1" s="2" t="s">
        <v>18</v>
      </c>
      <c r="H1" s="2" t="s">
        <v>20</v>
      </c>
    </row>
    <row r="2" spans="1:8">
      <c r="A2" t="s">
        <v>88</v>
      </c>
      <c r="B2" s="4">
        <v>0</v>
      </c>
      <c r="C2" s="4">
        <v>638</v>
      </c>
      <c r="D2" s="4">
        <v>1345516</v>
      </c>
      <c r="E2" s="4">
        <v>0</v>
      </c>
      <c r="F2" s="4">
        <v>0</v>
      </c>
      <c r="G2" s="4">
        <v>0</v>
      </c>
      <c r="H2" s="4">
        <v>0</v>
      </c>
    </row>
    <row r="3" spans="1:8">
      <c r="A3" t="s">
        <v>89</v>
      </c>
      <c r="B3" s="4">
        <v>0</v>
      </c>
      <c r="C3" s="4">
        <v>0</v>
      </c>
      <c r="D3" s="4">
        <v>486420</v>
      </c>
      <c r="E3" s="4">
        <v>0</v>
      </c>
      <c r="F3" s="4">
        <v>0</v>
      </c>
      <c r="G3" s="4">
        <v>0</v>
      </c>
      <c r="H3" s="4">
        <v>0</v>
      </c>
    </row>
    <row r="4" spans="1:8">
      <c r="A4" t="s">
        <v>90</v>
      </c>
      <c r="B4" s="4">
        <v>0</v>
      </c>
      <c r="C4" s="4">
        <v>0</v>
      </c>
      <c r="D4" s="4">
        <v>218300</v>
      </c>
      <c r="E4" s="4">
        <v>0</v>
      </c>
      <c r="F4" s="4">
        <v>0</v>
      </c>
      <c r="G4" s="4">
        <v>0</v>
      </c>
      <c r="H4" s="4">
        <v>0</v>
      </c>
    </row>
    <row r="5" spans="1:8">
      <c r="A5" t="s">
        <v>91</v>
      </c>
      <c r="B5" s="4">
        <v>0</v>
      </c>
      <c r="C5" s="4">
        <v>0</v>
      </c>
      <c r="D5" s="4">
        <v>182726</v>
      </c>
      <c r="E5" s="4">
        <v>0</v>
      </c>
      <c r="F5" s="4">
        <v>0</v>
      </c>
      <c r="G5" s="4">
        <v>0</v>
      </c>
      <c r="H5" s="4">
        <v>0</v>
      </c>
    </row>
    <row r="6" spans="1:8">
      <c r="A6" t="s">
        <v>92</v>
      </c>
      <c r="B6" s="4">
        <v>0</v>
      </c>
      <c r="C6" s="4">
        <v>0</v>
      </c>
      <c r="D6" s="4">
        <v>86578</v>
      </c>
      <c r="E6" s="4">
        <v>0</v>
      </c>
      <c r="F6" s="4">
        <v>0</v>
      </c>
      <c r="G6" s="4">
        <v>0</v>
      </c>
      <c r="H6" s="4">
        <v>0</v>
      </c>
    </row>
    <row r="7" spans="1:8">
      <c r="A7" t="s">
        <v>93</v>
      </c>
      <c r="B7" s="4">
        <v>0</v>
      </c>
      <c r="C7" s="4">
        <v>0</v>
      </c>
      <c r="D7" s="4">
        <v>68026</v>
      </c>
      <c r="E7" s="4">
        <v>0</v>
      </c>
      <c r="F7" s="4">
        <v>0</v>
      </c>
      <c r="G7" s="4">
        <v>0</v>
      </c>
      <c r="H7" s="4">
        <v>0</v>
      </c>
    </row>
    <row r="8" spans="1:8">
      <c r="A8" t="s">
        <v>94</v>
      </c>
      <c r="B8" s="4">
        <v>0</v>
      </c>
      <c r="C8" s="4">
        <v>0</v>
      </c>
      <c r="D8" s="4">
        <v>42330</v>
      </c>
      <c r="E8" s="4">
        <v>0</v>
      </c>
      <c r="F8" s="4">
        <v>0</v>
      </c>
      <c r="G8" s="4">
        <v>0</v>
      </c>
      <c r="H8" s="4">
        <v>0</v>
      </c>
    </row>
    <row r="9" spans="1:8">
      <c r="A9" t="s">
        <v>95</v>
      </c>
      <c r="B9" s="4">
        <v>0</v>
      </c>
      <c r="C9" s="4">
        <v>0</v>
      </c>
      <c r="D9" s="4">
        <v>7236</v>
      </c>
      <c r="E9" s="4">
        <v>0</v>
      </c>
      <c r="F9" s="4">
        <v>0</v>
      </c>
      <c r="G9" s="4">
        <v>0</v>
      </c>
      <c r="H9" s="4">
        <v>0</v>
      </c>
    </row>
    <row r="10" spans="1:8">
      <c r="A10" t="s">
        <v>96</v>
      </c>
      <c r="B10" s="4">
        <v>0</v>
      </c>
      <c r="C10" s="4">
        <v>0</v>
      </c>
      <c r="D10" s="4">
        <v>5875</v>
      </c>
      <c r="E10" s="4">
        <v>0</v>
      </c>
      <c r="F10" s="4">
        <v>0</v>
      </c>
      <c r="G10" s="4">
        <v>0</v>
      </c>
      <c r="H10" s="4">
        <v>0</v>
      </c>
    </row>
    <row r="11" spans="1:8">
      <c r="A11" t="s">
        <v>97</v>
      </c>
      <c r="B11" s="4">
        <v>0</v>
      </c>
      <c r="C11" s="4">
        <v>0</v>
      </c>
      <c r="D11" s="4">
        <v>4018</v>
      </c>
      <c r="E11" s="4">
        <v>0</v>
      </c>
      <c r="F11" s="4">
        <v>0</v>
      </c>
      <c r="G11" s="4">
        <v>0</v>
      </c>
      <c r="H11" s="4">
        <v>0</v>
      </c>
    </row>
    <row r="12" spans="1:8">
      <c r="A12" t="s">
        <v>98</v>
      </c>
      <c r="B12" s="4">
        <v>0</v>
      </c>
      <c r="C12" s="4">
        <v>2294</v>
      </c>
      <c r="D12" s="4">
        <v>1651</v>
      </c>
      <c r="E12" s="4">
        <v>0</v>
      </c>
      <c r="F12" s="4">
        <v>0</v>
      </c>
      <c r="G12" s="4">
        <v>0</v>
      </c>
      <c r="H12" s="4">
        <v>0</v>
      </c>
    </row>
    <row r="13" spans="1:8">
      <c r="A13" t="s">
        <v>99</v>
      </c>
      <c r="B13" s="4">
        <v>0</v>
      </c>
      <c r="C13" s="4">
        <v>1059</v>
      </c>
      <c r="D13" s="4">
        <v>2521</v>
      </c>
      <c r="E13" s="4">
        <v>0</v>
      </c>
      <c r="F13" s="4">
        <v>0</v>
      </c>
      <c r="G13" s="4">
        <v>0</v>
      </c>
      <c r="H13" s="4">
        <v>0</v>
      </c>
    </row>
    <row r="14" spans="1:8">
      <c r="A14" t="s">
        <v>100</v>
      </c>
      <c r="B14" s="4">
        <v>0</v>
      </c>
      <c r="C14" s="4">
        <v>129</v>
      </c>
      <c r="D14" s="4">
        <v>797</v>
      </c>
      <c r="E14" s="4">
        <v>0</v>
      </c>
      <c r="F14" s="4">
        <v>0</v>
      </c>
      <c r="G14" s="4">
        <v>0</v>
      </c>
      <c r="H14" s="4">
        <v>0</v>
      </c>
    </row>
    <row r="15" spans="1:8">
      <c r="A15" t="s">
        <v>101</v>
      </c>
      <c r="B15" s="4">
        <v>0</v>
      </c>
      <c r="C15" s="4">
        <v>0</v>
      </c>
      <c r="D15" s="4">
        <v>777</v>
      </c>
      <c r="E15" s="4">
        <v>0</v>
      </c>
      <c r="F15" s="4">
        <v>0</v>
      </c>
      <c r="G15" s="4">
        <v>0</v>
      </c>
      <c r="H15" s="4">
        <v>0</v>
      </c>
    </row>
    <row r="16" spans="1:8">
      <c r="A16" t="s">
        <v>102</v>
      </c>
      <c r="B16" s="4">
        <v>0</v>
      </c>
      <c r="C16" s="4">
        <v>0</v>
      </c>
      <c r="D16" s="4">
        <v>528</v>
      </c>
      <c r="E16" s="4">
        <v>0</v>
      </c>
      <c r="F16" s="4">
        <v>0</v>
      </c>
      <c r="G16" s="4">
        <v>0</v>
      </c>
      <c r="H16" s="4">
        <v>0</v>
      </c>
    </row>
    <row r="17" spans="1:8">
      <c r="A17" t="s">
        <v>103</v>
      </c>
      <c r="B17" s="4">
        <v>0</v>
      </c>
      <c r="C17" s="4">
        <v>0</v>
      </c>
      <c r="D17" s="4">
        <v>431</v>
      </c>
      <c r="E17" s="4">
        <v>0</v>
      </c>
      <c r="F17" s="4">
        <v>0</v>
      </c>
      <c r="G17" s="4">
        <v>0</v>
      </c>
      <c r="H17" s="4">
        <v>0</v>
      </c>
    </row>
    <row r="18" spans="1:8">
      <c r="A18" t="s">
        <v>104</v>
      </c>
      <c r="B18" s="4">
        <v>0</v>
      </c>
      <c r="C18" s="4">
        <v>0</v>
      </c>
      <c r="D18" s="4">
        <v>85</v>
      </c>
      <c r="E18" s="4">
        <v>0</v>
      </c>
      <c r="F18" s="4">
        <v>0</v>
      </c>
      <c r="G18" s="4">
        <v>0</v>
      </c>
      <c r="H18" s="4">
        <v>0</v>
      </c>
    </row>
    <row r="19" spans="1:8">
      <c r="A19" t="s">
        <v>105</v>
      </c>
      <c r="B19" s="4">
        <v>0</v>
      </c>
      <c r="C19" s="4">
        <v>0</v>
      </c>
      <c r="D19" s="4">
        <v>4</v>
      </c>
      <c r="E19" s="4">
        <v>0</v>
      </c>
      <c r="F19" s="4">
        <v>0</v>
      </c>
      <c r="G19" s="4">
        <v>0</v>
      </c>
      <c r="H19" s="4">
        <v>0</v>
      </c>
    </row>
    <row r="20" spans="1:8">
      <c r="A20" t="s">
        <v>106</v>
      </c>
      <c r="B20" s="4">
        <v>0</v>
      </c>
      <c r="C20" s="4">
        <v>0</v>
      </c>
      <c r="D20" s="4">
        <v>4</v>
      </c>
      <c r="E20" s="4">
        <v>0</v>
      </c>
      <c r="F20" s="4">
        <v>0</v>
      </c>
      <c r="G20" s="4">
        <v>0</v>
      </c>
      <c r="H20" s="4">
        <v>0</v>
      </c>
    </row>
    <row r="21" spans="1:8">
      <c r="A21" t="s">
        <v>107</v>
      </c>
      <c r="B21" s="4">
        <v>0</v>
      </c>
      <c r="C21" s="4">
        <v>0</v>
      </c>
      <c r="D21" s="4">
        <v>2</v>
      </c>
      <c r="E21" s="4">
        <v>0</v>
      </c>
      <c r="F21" s="4">
        <v>0</v>
      </c>
      <c r="G21" s="4">
        <v>0</v>
      </c>
      <c r="H21" s="4">
        <v>0</v>
      </c>
    </row>
    <row r="22" spans="1:8">
      <c r="A22" t="s">
        <v>108</v>
      </c>
      <c r="B22" s="4">
        <v>0</v>
      </c>
      <c r="C22" s="4">
        <v>0</v>
      </c>
      <c r="D22" s="4">
        <v>2</v>
      </c>
      <c r="E22" s="4">
        <v>0</v>
      </c>
      <c r="F22" s="4">
        <v>0</v>
      </c>
      <c r="G22" s="4">
        <v>0</v>
      </c>
      <c r="H22" s="4">
        <v>0</v>
      </c>
    </row>
    <row r="23" spans="1:8">
      <c r="A23" t="s">
        <v>109</v>
      </c>
      <c r="B23" s="4">
        <v>0</v>
      </c>
      <c r="C23" s="4">
        <v>0</v>
      </c>
      <c r="D23" s="4">
        <v>2</v>
      </c>
      <c r="E23" s="4">
        <v>0</v>
      </c>
      <c r="F23" s="4">
        <v>0</v>
      </c>
      <c r="G23" s="4">
        <v>0</v>
      </c>
      <c r="H23" s="4">
        <v>0</v>
      </c>
    </row>
    <row r="24" spans="1:8">
      <c r="A24" t="s">
        <v>110</v>
      </c>
      <c r="B24" s="4">
        <v>0</v>
      </c>
      <c r="C24" s="4">
        <v>0</v>
      </c>
      <c r="D24" s="4">
        <v>1</v>
      </c>
      <c r="E24" s="4">
        <v>0</v>
      </c>
      <c r="F24" s="4">
        <v>0</v>
      </c>
      <c r="G24" s="4">
        <v>0</v>
      </c>
      <c r="H24" s="4">
        <v>0</v>
      </c>
    </row>
    <row r="25" spans="1:8">
      <c r="A25" t="s">
        <v>111</v>
      </c>
      <c r="B25" s="4">
        <v>0</v>
      </c>
      <c r="C25" s="4">
        <v>0</v>
      </c>
      <c r="D25" s="4">
        <v>1</v>
      </c>
      <c r="E25" s="4">
        <v>0</v>
      </c>
      <c r="F25" s="4">
        <v>0</v>
      </c>
      <c r="G25" s="4">
        <v>0</v>
      </c>
      <c r="H25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"/>
  <sheetViews>
    <sheetView zoomScaleNormal="100" zoomScaleSheetLayoutView="100" workbookViewId="0"/>
  </sheetViews>
  <sheetFormatPr defaultRowHeight="15"/>
  <cols>
    <col min="1" max="1" width="21" customWidth="1"/>
    <col min="2" max="3" width="10" customWidth="1"/>
  </cols>
  <sheetData>
    <row r="1" spans="1:3">
      <c r="A1" s="2" t="s">
        <v>175</v>
      </c>
      <c r="B1" s="2" t="s">
        <v>6</v>
      </c>
      <c r="C1" s="2" t="s">
        <v>176</v>
      </c>
    </row>
    <row r="2" spans="1:3">
      <c r="A2" t="s">
        <v>177</v>
      </c>
      <c r="B2" s="4">
        <v>0</v>
      </c>
      <c r="C2" t="s">
        <v>178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"/>
  <sheetViews>
    <sheetView zoomScaleNormal="100" zoomScaleSheetLayoutView="100" workbookViewId="0"/>
  </sheetViews>
  <sheetFormatPr defaultRowHeight="15"/>
  <cols>
    <col min="1" max="2" width="13" customWidth="1"/>
  </cols>
  <sheetData>
    <row r="1" spans="1:2">
      <c r="A1" s="2" t="s">
        <v>80</v>
      </c>
      <c r="B1" s="2" t="s">
        <v>179</v>
      </c>
    </row>
    <row r="2" spans="1:2">
      <c r="A2" t="s">
        <v>180</v>
      </c>
      <c r="B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9"/>
  <sheetViews>
    <sheetView zoomScaleNormal="100" zoomScaleSheetLayoutView="100" workbookViewId="0"/>
  </sheetViews>
  <sheetFormatPr defaultRowHeight="15"/>
  <cols>
    <col min="1" max="2" width="18" customWidth="1"/>
    <col min="3" max="3" width="22" customWidth="1"/>
    <col min="4" max="4" width="10" customWidth="1"/>
  </cols>
  <sheetData>
    <row r="1" spans="1:4">
      <c r="A1" s="2" t="s">
        <v>181</v>
      </c>
      <c r="B1" s="2" t="s">
        <v>87</v>
      </c>
      <c r="C1" s="2" t="s">
        <v>86</v>
      </c>
      <c r="D1" s="2" t="s">
        <v>6</v>
      </c>
    </row>
    <row r="2" spans="1:4">
      <c r="A2" t="s">
        <v>182</v>
      </c>
      <c r="B2" s="4">
        <v>324152181465289</v>
      </c>
      <c r="C2" s="4">
        <v>324152181465289</v>
      </c>
      <c r="D2" s="4">
        <v>2451681</v>
      </c>
    </row>
    <row r="3" spans="1:4">
      <c r="A3" t="s">
        <v>183</v>
      </c>
      <c r="B3" s="4">
        <v>2864250898705</v>
      </c>
      <c r="C3" s="4">
        <v>15865101043</v>
      </c>
      <c r="D3" s="4">
        <v>4009</v>
      </c>
    </row>
    <row r="4" spans="1:4">
      <c r="A4" t="s">
        <v>184</v>
      </c>
      <c r="B4" s="4">
        <v>45118297241</v>
      </c>
      <c r="C4" s="4">
        <v>31137555242</v>
      </c>
      <c r="D4" s="4">
        <v>464</v>
      </c>
    </row>
    <row r="5" spans="1:4">
      <c r="A5" t="s">
        <v>185</v>
      </c>
      <c r="B5" s="4">
        <v>416386658763</v>
      </c>
      <c r="C5" s="4">
        <v>155032469</v>
      </c>
      <c r="D5" s="4">
        <v>453</v>
      </c>
    </row>
    <row r="6" spans="1:4">
      <c r="A6" t="s">
        <v>186</v>
      </c>
      <c r="B6" s="4">
        <v>149518637988</v>
      </c>
      <c r="C6" s="4">
        <v>171176099</v>
      </c>
      <c r="D6" s="4">
        <v>332</v>
      </c>
    </row>
    <row r="7" spans="1:4">
      <c r="A7" t="s">
        <v>187</v>
      </c>
      <c r="B7" s="4">
        <v>4618122849</v>
      </c>
      <c r="C7" s="4">
        <v>3202083</v>
      </c>
      <c r="D7" s="4">
        <v>199</v>
      </c>
    </row>
    <row r="8" spans="1:4">
      <c r="A8" t="s">
        <v>188</v>
      </c>
      <c r="B8" s="4">
        <v>107204601843</v>
      </c>
      <c r="C8" s="4">
        <v>1489153082</v>
      </c>
      <c r="D8" s="4">
        <v>159</v>
      </c>
    </row>
    <row r="9" spans="1:4">
      <c r="A9" t="s">
        <v>189</v>
      </c>
      <c r="B9" s="4">
        <v>6393226379</v>
      </c>
      <c r="C9" s="4">
        <v>144230209</v>
      </c>
      <c r="D9" s="4">
        <v>149</v>
      </c>
    </row>
    <row r="10" spans="1:4">
      <c r="A10" t="s">
        <v>190</v>
      </c>
      <c r="B10" s="4">
        <v>1889665225</v>
      </c>
      <c r="C10" s="4">
        <v>4818395</v>
      </c>
      <c r="D10" s="4">
        <v>116</v>
      </c>
    </row>
    <row r="11" spans="1:4">
      <c r="A11" t="s">
        <v>191</v>
      </c>
      <c r="B11" s="4">
        <v>338921404</v>
      </c>
      <c r="C11" s="4">
        <v>11367020</v>
      </c>
      <c r="D11" s="4">
        <v>101</v>
      </c>
    </row>
    <row r="12" spans="1:4">
      <c r="A12" t="s">
        <v>192</v>
      </c>
      <c r="B12" s="4">
        <v>2339888552</v>
      </c>
      <c r="C12" s="4">
        <v>86706156</v>
      </c>
      <c r="D12" s="4">
        <v>93</v>
      </c>
    </row>
    <row r="13" spans="1:4">
      <c r="A13" t="s">
        <v>193</v>
      </c>
      <c r="B13" s="4">
        <v>190076629</v>
      </c>
      <c r="C13" s="4">
        <v>19727353</v>
      </c>
      <c r="D13" s="4">
        <v>67</v>
      </c>
    </row>
    <row r="14" spans="1:4">
      <c r="A14" t="s">
        <v>194</v>
      </c>
      <c r="B14" s="4">
        <v>82457032</v>
      </c>
      <c r="C14" s="4">
        <v>813108</v>
      </c>
      <c r="D14" s="4">
        <v>58</v>
      </c>
    </row>
    <row r="15" spans="1:4">
      <c r="A15" t="s">
        <v>195</v>
      </c>
      <c r="B15" s="4">
        <v>4599405160</v>
      </c>
      <c r="C15" s="4">
        <v>1045670</v>
      </c>
      <c r="D15" s="4">
        <v>20</v>
      </c>
    </row>
    <row r="16" spans="1:4">
      <c r="A16" t="s">
        <v>196</v>
      </c>
      <c r="B16" s="4">
        <v>114210446</v>
      </c>
      <c r="C16" s="4">
        <v>88197789</v>
      </c>
      <c r="D16" s="4">
        <v>18</v>
      </c>
    </row>
    <row r="17" spans="1:4">
      <c r="A17" t="s">
        <v>197</v>
      </c>
      <c r="B17" s="4">
        <v>95048228</v>
      </c>
      <c r="C17" s="4">
        <v>23938978</v>
      </c>
      <c r="D17" s="4">
        <v>17</v>
      </c>
    </row>
    <row r="18" spans="1:4">
      <c r="A18" t="s">
        <v>198</v>
      </c>
      <c r="B18" s="4">
        <v>1136986980</v>
      </c>
      <c r="C18" s="4">
        <v>1100467</v>
      </c>
      <c r="D18" s="4">
        <v>12</v>
      </c>
    </row>
    <row r="19" spans="1:4">
      <c r="A19" t="s">
        <v>199</v>
      </c>
      <c r="B19" s="4">
        <v>462100</v>
      </c>
      <c r="C19" s="4">
        <v>7100</v>
      </c>
      <c r="D19" s="4">
        <v>2</v>
      </c>
    </row>
    <row r="20" spans="1:4">
      <c r="A20" t="s">
        <v>200</v>
      </c>
      <c r="B20" s="4">
        <v>100</v>
      </c>
      <c r="C20" s="4">
        <v>100</v>
      </c>
      <c r="D20" s="4">
        <v>1</v>
      </c>
    </row>
    <row r="22" spans="1:4">
      <c r="A22" s="2" t="s">
        <v>201</v>
      </c>
      <c r="B22" s="2" t="s">
        <v>87</v>
      </c>
      <c r="C22" s="2" t="s">
        <v>86</v>
      </c>
      <c r="D22" s="2" t="s">
        <v>6</v>
      </c>
    </row>
    <row r="23" spans="1:4">
      <c r="A23" t="s">
        <v>202</v>
      </c>
      <c r="B23" s="4">
        <v>327756459030913</v>
      </c>
      <c r="C23" s="4">
        <v>324201384637652</v>
      </c>
      <c r="D23" s="4">
        <v>2457951</v>
      </c>
    </row>
    <row r="25" spans="1:4">
      <c r="A25" s="2" t="s">
        <v>80</v>
      </c>
      <c r="B25" s="2" t="s">
        <v>203</v>
      </c>
      <c r="C25" s="2" t="s">
        <v>204</v>
      </c>
    </row>
    <row r="26" spans="1:4">
      <c r="A26" t="s">
        <v>98</v>
      </c>
      <c r="B26" s="4">
        <v>0</v>
      </c>
      <c r="C26" s="4">
        <v>1401393418817</v>
      </c>
    </row>
    <row r="27" spans="1:4">
      <c r="A27" t="s">
        <v>99</v>
      </c>
      <c r="B27" s="4">
        <v>0</v>
      </c>
      <c r="C27" s="4">
        <v>1153824967362</v>
      </c>
    </row>
    <row r="28" spans="1:4">
      <c r="A28" t="s">
        <v>100</v>
      </c>
      <c r="B28" s="4">
        <v>0</v>
      </c>
      <c r="C28" s="4">
        <v>130635538217</v>
      </c>
    </row>
    <row r="29" spans="1:4">
      <c r="A29" t="s">
        <v>88</v>
      </c>
      <c r="B29" s="4">
        <v>0</v>
      </c>
      <c r="C29" s="4">
        <v>54632421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31"/>
  <sheetViews>
    <sheetView zoomScaleNormal="100" zoomScaleSheetLayoutView="100" workbookViewId="0"/>
  </sheetViews>
  <sheetFormatPr defaultRowHeight="15"/>
  <cols>
    <col min="1" max="1" width="21" customWidth="1"/>
    <col min="2" max="2" width="13" customWidth="1"/>
  </cols>
  <sheetData>
    <row r="1" spans="1:2">
      <c r="A1" s="2" t="s">
        <v>80</v>
      </c>
      <c r="B1" s="2" t="s">
        <v>54</v>
      </c>
    </row>
    <row r="2" spans="1:2">
      <c r="A2" t="s">
        <v>88</v>
      </c>
      <c r="B2" s="4">
        <v>1346154</v>
      </c>
    </row>
    <row r="3" spans="1:2">
      <c r="A3" t="s">
        <v>89</v>
      </c>
      <c r="B3" s="4">
        <v>486420</v>
      </c>
    </row>
    <row r="4" spans="1:2">
      <c r="A4" t="s">
        <v>90</v>
      </c>
      <c r="B4" s="4">
        <v>218300</v>
      </c>
    </row>
    <row r="5" spans="1:2">
      <c r="A5" t="s">
        <v>91</v>
      </c>
      <c r="B5" s="4">
        <v>182726</v>
      </c>
    </row>
    <row r="6" spans="1:2">
      <c r="A6" t="s">
        <v>92</v>
      </c>
      <c r="B6" s="4">
        <v>86578</v>
      </c>
    </row>
    <row r="7" spans="1:2">
      <c r="A7" t="s">
        <v>93</v>
      </c>
      <c r="B7" s="4">
        <v>68026</v>
      </c>
    </row>
    <row r="8" spans="1:2">
      <c r="A8" t="s">
        <v>94</v>
      </c>
      <c r="B8" s="4">
        <v>42330</v>
      </c>
    </row>
    <row r="9" spans="1:2">
      <c r="A9" t="s">
        <v>95</v>
      </c>
      <c r="B9" s="4">
        <v>7236</v>
      </c>
    </row>
    <row r="10" spans="1:2">
      <c r="A10" t="s">
        <v>96</v>
      </c>
      <c r="B10" s="4">
        <v>5875</v>
      </c>
    </row>
    <row r="11" spans="1:2">
      <c r="A11" t="s">
        <v>97</v>
      </c>
      <c r="B11" s="4">
        <v>4018</v>
      </c>
    </row>
    <row r="14" spans="1:2">
      <c r="A14" s="2" t="s">
        <v>80</v>
      </c>
      <c r="B14" s="2" t="s">
        <v>22</v>
      </c>
    </row>
    <row r="15" spans="1:2">
      <c r="A15" t="s">
        <v>88</v>
      </c>
      <c r="B15" s="4">
        <v>0</v>
      </c>
    </row>
    <row r="16" spans="1:2">
      <c r="A16" t="s">
        <v>89</v>
      </c>
      <c r="B16" s="4">
        <v>0</v>
      </c>
    </row>
    <row r="17" spans="1:2">
      <c r="A17" t="s">
        <v>90</v>
      </c>
      <c r="B17" s="4">
        <v>0</v>
      </c>
    </row>
    <row r="18" spans="1:2">
      <c r="A18" t="s">
        <v>91</v>
      </c>
      <c r="B18" s="4">
        <v>0</v>
      </c>
    </row>
    <row r="19" spans="1:2">
      <c r="A19" t="s">
        <v>92</v>
      </c>
      <c r="B19" s="4">
        <v>0</v>
      </c>
    </row>
    <row r="20" spans="1:2">
      <c r="A20" t="s">
        <v>93</v>
      </c>
      <c r="B20" s="4">
        <v>0</v>
      </c>
    </row>
    <row r="21" spans="1:2">
      <c r="A21" t="s">
        <v>94</v>
      </c>
      <c r="B21" s="4">
        <v>0</v>
      </c>
    </row>
    <row r="22" spans="1:2">
      <c r="A22" t="s">
        <v>95</v>
      </c>
      <c r="B22" s="4">
        <v>0</v>
      </c>
    </row>
    <row r="23" spans="1:2">
      <c r="A23" t="s">
        <v>96</v>
      </c>
      <c r="B23" s="4">
        <v>0</v>
      </c>
    </row>
    <row r="24" spans="1:2">
      <c r="A24" t="s">
        <v>97</v>
      </c>
      <c r="B24" s="4">
        <v>0</v>
      </c>
    </row>
    <row r="27" spans="1:2">
      <c r="A27" s="2" t="s">
        <v>80</v>
      </c>
      <c r="B27" s="2" t="s">
        <v>37</v>
      </c>
    </row>
    <row r="28" spans="1:2">
      <c r="A28" t="s">
        <v>98</v>
      </c>
      <c r="B28" s="4">
        <v>2294</v>
      </c>
    </row>
    <row r="29" spans="1:2">
      <c r="A29" t="s">
        <v>99</v>
      </c>
      <c r="B29" s="4">
        <v>1059</v>
      </c>
    </row>
    <row r="30" spans="1:2">
      <c r="A30" t="s">
        <v>88</v>
      </c>
      <c r="B30" s="4">
        <v>638</v>
      </c>
    </row>
    <row r="31" spans="1:2">
      <c r="A31" t="s">
        <v>100</v>
      </c>
      <c r="B31" s="4">
        <v>129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zoomScaleNormal="100" zoomScaleSheetLayoutView="100" workbookViewId="0"/>
  </sheetViews>
  <sheetFormatPr defaultRowHeight="15"/>
  <sheetData>
    <row r="1" spans="1:1">
      <c r="A1" t="s">
        <v>205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31A2AF2-7ECE-41D1-8B60-DB177501C0B8}"/>
</file>

<file path=customXml/itemProps2.xml><?xml version="1.0" encoding="utf-8"?>
<ds:datastoreItem xmlns:ds="http://schemas.openxmlformats.org/officeDocument/2006/customXml" ds:itemID="{32757B05-242C-4CEE-9398-5B0DED3CC2A7}"/>
</file>

<file path=customXml/itemProps3.xml><?xml version="1.0" encoding="utf-8"?>
<ds:datastoreItem xmlns:ds="http://schemas.openxmlformats.org/officeDocument/2006/customXml" ds:itemID="{C9805787-0414-40C8-946D-7CB236E1D9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XLA Event Data Status Pipeline</dc:creator>
  <cp:keywords/>
  <dc:description/>
  <cp:lastModifiedBy>SharePoint App</cp:lastModifiedBy>
  <cp:revision/>
  <dcterms:created xsi:type="dcterms:W3CDTF">2026-07-21T19:00:12Z</dcterms:created>
  <dcterms:modified xsi:type="dcterms:W3CDTF">2026-07-21T19:00:21Z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